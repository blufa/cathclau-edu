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12510" windowHeight="9435" tabRatio="728"/>
  </bookViews>
  <sheets>
    <sheet name="TSE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65" i="7" l="1"/>
  <c r="W265" i="7" s="1"/>
  <c r="V266" i="7"/>
  <c r="W266" i="7" s="1"/>
  <c r="I267" i="7"/>
  <c r="I271" i="7" s="1"/>
  <c r="J267" i="7"/>
  <c r="K267" i="7"/>
  <c r="L267" i="7"/>
  <c r="M267" i="7"/>
  <c r="N267" i="7"/>
  <c r="O267" i="7"/>
  <c r="P267" i="7"/>
  <c r="Q267" i="7"/>
  <c r="R267" i="7"/>
  <c r="S267" i="7"/>
  <c r="T267" i="7"/>
  <c r="V268" i="7"/>
  <c r="W268" i="7" s="1"/>
  <c r="V269" i="7"/>
  <c r="W269" i="7" s="1"/>
  <c r="I270" i="7"/>
  <c r="J270" i="7"/>
  <c r="K270" i="7"/>
  <c r="L270" i="7"/>
  <c r="M270" i="7"/>
  <c r="N270" i="7"/>
  <c r="O270" i="7"/>
  <c r="P270" i="7"/>
  <c r="P271" i="7" s="1"/>
  <c r="Q270" i="7"/>
  <c r="R270" i="7"/>
  <c r="S270" i="7"/>
  <c r="T270" i="7"/>
  <c r="V272" i="7"/>
  <c r="W272" i="7" s="1"/>
  <c r="V273" i="7"/>
  <c r="W273" i="7" s="1"/>
  <c r="I274" i="7"/>
  <c r="J274" i="7"/>
  <c r="K274" i="7"/>
  <c r="L274" i="7"/>
  <c r="M274" i="7"/>
  <c r="N274" i="7"/>
  <c r="O274" i="7"/>
  <c r="P274" i="7"/>
  <c r="Q274" i="7"/>
  <c r="R274" i="7"/>
  <c r="S274" i="7"/>
  <c r="T274" i="7"/>
  <c r="V275" i="7"/>
  <c r="W275" i="7" s="1"/>
  <c r="V276" i="7"/>
  <c r="W276" i="7" s="1"/>
  <c r="I277" i="7"/>
  <c r="J277" i="7"/>
  <c r="K277" i="7"/>
  <c r="L277" i="7"/>
  <c r="M277" i="7"/>
  <c r="N277" i="7"/>
  <c r="O277" i="7"/>
  <c r="P277" i="7"/>
  <c r="Q277" i="7"/>
  <c r="R277" i="7"/>
  <c r="S277" i="7"/>
  <c r="T277" i="7"/>
  <c r="V279" i="7"/>
  <c r="W279" i="7" s="1"/>
  <c r="V280" i="7"/>
  <c r="W280" i="7" s="1"/>
  <c r="I281" i="7"/>
  <c r="J281" i="7"/>
  <c r="K281" i="7"/>
  <c r="L281" i="7"/>
  <c r="M281" i="7"/>
  <c r="N281" i="7"/>
  <c r="O281" i="7"/>
  <c r="P281" i="7"/>
  <c r="Q281" i="7"/>
  <c r="Q285" i="7" s="1"/>
  <c r="R281" i="7"/>
  <c r="S281" i="7"/>
  <c r="T281" i="7"/>
  <c r="V282" i="7"/>
  <c r="W282" i="7" s="1"/>
  <c r="V283" i="7"/>
  <c r="W283" i="7" s="1"/>
  <c r="I284" i="7"/>
  <c r="J284" i="7"/>
  <c r="K284" i="7"/>
  <c r="L284" i="7"/>
  <c r="M284" i="7"/>
  <c r="N284" i="7"/>
  <c r="O284" i="7"/>
  <c r="P284" i="7"/>
  <c r="Q284" i="7"/>
  <c r="R284" i="7"/>
  <c r="S284" i="7"/>
  <c r="T284" i="7"/>
  <c r="V286" i="7"/>
  <c r="W286" i="7" s="1"/>
  <c r="V287" i="7"/>
  <c r="W287" i="7" s="1"/>
  <c r="I288" i="7"/>
  <c r="J288" i="7"/>
  <c r="K288" i="7"/>
  <c r="L288" i="7"/>
  <c r="M288" i="7"/>
  <c r="N288" i="7"/>
  <c r="O288" i="7"/>
  <c r="P288" i="7"/>
  <c r="Q288" i="7"/>
  <c r="R288" i="7"/>
  <c r="S288" i="7"/>
  <c r="T288" i="7"/>
  <c r="V289" i="7"/>
  <c r="W289" i="7" s="1"/>
  <c r="V290" i="7"/>
  <c r="W290" i="7" s="1"/>
  <c r="I291" i="7"/>
  <c r="J291" i="7"/>
  <c r="K291" i="7"/>
  <c r="L291" i="7"/>
  <c r="M291" i="7"/>
  <c r="N291" i="7"/>
  <c r="O291" i="7"/>
  <c r="P291" i="7"/>
  <c r="Q291" i="7"/>
  <c r="R291" i="7"/>
  <c r="S291" i="7"/>
  <c r="T291" i="7"/>
  <c r="V293" i="7"/>
  <c r="W293" i="7" s="1"/>
  <c r="V294" i="7"/>
  <c r="W294" i="7" s="1"/>
  <c r="I295" i="7"/>
  <c r="J295" i="7"/>
  <c r="K295" i="7"/>
  <c r="L295" i="7"/>
  <c r="M295" i="7"/>
  <c r="N295" i="7"/>
  <c r="O295" i="7"/>
  <c r="P295" i="7"/>
  <c r="Q295" i="7"/>
  <c r="R295" i="7"/>
  <c r="S295" i="7"/>
  <c r="T295" i="7"/>
  <c r="V296" i="7"/>
  <c r="W296" i="7" s="1"/>
  <c r="V297" i="7"/>
  <c r="W297" i="7" s="1"/>
  <c r="I298" i="7"/>
  <c r="J298" i="7"/>
  <c r="K298" i="7"/>
  <c r="L298" i="7"/>
  <c r="M298" i="7"/>
  <c r="N298" i="7"/>
  <c r="O298" i="7"/>
  <c r="P298" i="7"/>
  <c r="Q298" i="7"/>
  <c r="R298" i="7"/>
  <c r="S298" i="7"/>
  <c r="T298" i="7"/>
  <c r="V300" i="7"/>
  <c r="W300" i="7" s="1"/>
  <c r="V301" i="7"/>
  <c r="W301" i="7" s="1"/>
  <c r="I302" i="7"/>
  <c r="J302" i="7"/>
  <c r="K302" i="7"/>
  <c r="L302" i="7"/>
  <c r="M302" i="7"/>
  <c r="N302" i="7"/>
  <c r="O302" i="7"/>
  <c r="P302" i="7"/>
  <c r="Q302" i="7"/>
  <c r="R302" i="7"/>
  <c r="S302" i="7"/>
  <c r="T302" i="7"/>
  <c r="V303" i="7"/>
  <c r="W303" i="7" s="1"/>
  <c r="V304" i="7"/>
  <c r="W304" i="7" s="1"/>
  <c r="I305" i="7"/>
  <c r="J305" i="7"/>
  <c r="K305" i="7"/>
  <c r="L305" i="7"/>
  <c r="M305" i="7"/>
  <c r="N305" i="7"/>
  <c r="O305" i="7"/>
  <c r="O306" i="7" s="1"/>
  <c r="P305" i="7"/>
  <c r="Q305" i="7"/>
  <c r="R305" i="7"/>
  <c r="S305" i="7"/>
  <c r="T305" i="7"/>
  <c r="V307" i="7"/>
  <c r="W307" i="7" s="1"/>
  <c r="V308" i="7"/>
  <c r="W308" i="7" s="1"/>
  <c r="I309" i="7"/>
  <c r="J309" i="7"/>
  <c r="K309" i="7"/>
  <c r="L309" i="7"/>
  <c r="M309" i="7"/>
  <c r="N309" i="7"/>
  <c r="O309" i="7"/>
  <c r="P309" i="7"/>
  <c r="Q309" i="7"/>
  <c r="R309" i="7"/>
  <c r="S309" i="7"/>
  <c r="T309" i="7"/>
  <c r="V310" i="7"/>
  <c r="W310" i="7" s="1"/>
  <c r="V311" i="7"/>
  <c r="W311" i="7" s="1"/>
  <c r="I312" i="7"/>
  <c r="J312" i="7"/>
  <c r="K312" i="7"/>
  <c r="L312" i="7"/>
  <c r="M312" i="7"/>
  <c r="N312" i="7"/>
  <c r="O312" i="7"/>
  <c r="P312" i="7"/>
  <c r="Q312" i="7"/>
  <c r="R312" i="7"/>
  <c r="S312" i="7"/>
  <c r="T312" i="7"/>
  <c r="S285" i="7" l="1"/>
  <c r="O285" i="7"/>
  <c r="O278" i="7"/>
  <c r="T271" i="7"/>
  <c r="L271" i="7"/>
  <c r="P306" i="7"/>
  <c r="Q313" i="7"/>
  <c r="Q306" i="7"/>
  <c r="M306" i="7"/>
  <c r="I306" i="7"/>
  <c r="Q271" i="7"/>
  <c r="M271" i="7"/>
  <c r="T299" i="7"/>
  <c r="P299" i="7"/>
  <c r="L299" i="7"/>
  <c r="T292" i="7"/>
  <c r="P292" i="7"/>
  <c r="L292" i="7"/>
  <c r="I299" i="7"/>
  <c r="S306" i="7"/>
  <c r="K306" i="7"/>
  <c r="O292" i="7"/>
  <c r="P278" i="7"/>
  <c r="S313" i="7"/>
  <c r="O313" i="7"/>
  <c r="M313" i="7"/>
  <c r="I313" i="7"/>
  <c r="Q299" i="7"/>
  <c r="M299" i="7"/>
  <c r="Q278" i="7"/>
  <c r="M278" i="7"/>
  <c r="I278" i="7"/>
  <c r="S278" i="7"/>
  <c r="K278" i="7"/>
  <c r="R299" i="7"/>
  <c r="N299" i="7"/>
  <c r="M285" i="7"/>
  <c r="I285" i="7"/>
  <c r="L306" i="7"/>
  <c r="V295" i="7"/>
  <c r="W295" i="7" s="1"/>
  <c r="T278" i="7"/>
  <c r="L278" i="7"/>
  <c r="R271" i="7"/>
  <c r="N271" i="7"/>
  <c r="J271" i="7"/>
  <c r="V312" i="7"/>
  <c r="W312" i="7" s="1"/>
  <c r="S299" i="7"/>
  <c r="O299" i="7"/>
  <c r="Q292" i="7"/>
  <c r="M292" i="7"/>
  <c r="I292" i="7"/>
  <c r="S271" i="7"/>
  <c r="O271" i="7"/>
  <c r="T306" i="7"/>
  <c r="T313" i="7"/>
  <c r="P313" i="7"/>
  <c r="L313" i="7"/>
  <c r="R313" i="7"/>
  <c r="N313" i="7"/>
  <c r="V309" i="7"/>
  <c r="W309" i="7" s="1"/>
  <c r="S292" i="7"/>
  <c r="K292" i="7"/>
  <c r="T285" i="7"/>
  <c r="P285" i="7"/>
  <c r="L285" i="7"/>
  <c r="R285" i="7"/>
  <c r="N285" i="7"/>
  <c r="J285" i="7"/>
  <c r="J313" i="7"/>
  <c r="R306" i="7"/>
  <c r="N306" i="7"/>
  <c r="J306" i="7"/>
  <c r="J299" i="7"/>
  <c r="R292" i="7"/>
  <c r="N292" i="7"/>
  <c r="J292" i="7"/>
  <c r="R278" i="7"/>
  <c r="N278" i="7"/>
  <c r="J278" i="7"/>
  <c r="V298" i="7"/>
  <c r="W298" i="7" s="1"/>
  <c r="V302" i="7"/>
  <c r="W302" i="7" s="1"/>
  <c r="V288" i="7"/>
  <c r="W288" i="7" s="1"/>
  <c r="V274" i="7"/>
  <c r="W274" i="7" s="1"/>
  <c r="V284" i="7"/>
  <c r="W284" i="7" s="1"/>
  <c r="V281" i="7"/>
  <c r="W281" i="7" s="1"/>
  <c r="V270" i="7"/>
  <c r="W270" i="7" s="1"/>
  <c r="V267" i="7"/>
  <c r="W267" i="7" s="1"/>
  <c r="V305" i="7"/>
  <c r="W305" i="7" s="1"/>
  <c r="V291" i="7"/>
  <c r="W291" i="7" s="1"/>
  <c r="V277" i="7"/>
  <c r="W277" i="7" s="1"/>
  <c r="K313" i="7"/>
  <c r="K299" i="7"/>
  <c r="K285" i="7"/>
  <c r="K271" i="7"/>
  <c r="V306" i="7" l="1"/>
  <c r="W306" i="7" s="1"/>
  <c r="V271" i="7"/>
  <c r="W271" i="7" s="1"/>
  <c r="V299" i="7"/>
  <c r="W299" i="7" s="1"/>
  <c r="V292" i="7"/>
  <c r="W292" i="7" s="1"/>
  <c r="V285" i="7"/>
  <c r="W285" i="7" s="1"/>
  <c r="V278" i="7"/>
  <c r="W278" i="7" s="1"/>
  <c r="V313" i="7"/>
  <c r="W313" i="7" s="1"/>
  <c r="I15" i="7" l="1"/>
  <c r="J15" i="7"/>
  <c r="K15" i="7"/>
  <c r="L15" i="7"/>
  <c r="M15" i="7"/>
  <c r="N15" i="7"/>
  <c r="O15" i="7"/>
  <c r="P15" i="7"/>
  <c r="Q15" i="7"/>
  <c r="R15" i="7"/>
  <c r="S15" i="7"/>
  <c r="T15" i="7"/>
  <c r="I18" i="7"/>
  <c r="J18" i="7"/>
  <c r="K18" i="7"/>
  <c r="L18" i="7"/>
  <c r="M18" i="7"/>
  <c r="N18" i="7"/>
  <c r="O18" i="7"/>
  <c r="P18" i="7"/>
  <c r="Q18" i="7"/>
  <c r="R18" i="7"/>
  <c r="S18" i="7"/>
  <c r="T18" i="7"/>
  <c r="I19" i="7"/>
  <c r="J19" i="7"/>
  <c r="O19" i="7"/>
  <c r="Q19" i="7"/>
  <c r="I22" i="7"/>
  <c r="J22" i="7"/>
  <c r="K22" i="7"/>
  <c r="L22" i="7"/>
  <c r="M22" i="7"/>
  <c r="N22" i="7"/>
  <c r="O22" i="7"/>
  <c r="P22" i="7"/>
  <c r="Q22" i="7"/>
  <c r="R22" i="7"/>
  <c r="S22" i="7"/>
  <c r="T22" i="7"/>
  <c r="I25" i="7"/>
  <c r="J25" i="7"/>
  <c r="K25" i="7"/>
  <c r="L25" i="7"/>
  <c r="M25" i="7"/>
  <c r="N25" i="7"/>
  <c r="O25" i="7"/>
  <c r="P25" i="7"/>
  <c r="Q25" i="7"/>
  <c r="R25" i="7"/>
  <c r="S25" i="7"/>
  <c r="T25" i="7"/>
  <c r="I29" i="7"/>
  <c r="J29" i="7"/>
  <c r="J33" i="7" s="1"/>
  <c r="K29" i="7"/>
  <c r="L29" i="7"/>
  <c r="M29" i="7"/>
  <c r="N29" i="7"/>
  <c r="O29" i="7"/>
  <c r="P29" i="7"/>
  <c r="Q29" i="7"/>
  <c r="R29" i="7"/>
  <c r="S29" i="7"/>
  <c r="T29" i="7"/>
  <c r="I32" i="7"/>
  <c r="J32" i="7"/>
  <c r="K32" i="7"/>
  <c r="L32" i="7"/>
  <c r="M32" i="7"/>
  <c r="N32" i="7"/>
  <c r="O32" i="7"/>
  <c r="P32" i="7"/>
  <c r="Q32" i="7"/>
  <c r="R32" i="7"/>
  <c r="S32" i="7"/>
  <c r="T32" i="7"/>
  <c r="N33" i="7"/>
  <c r="O33" i="7"/>
  <c r="P33" i="7"/>
  <c r="Q33" i="7"/>
  <c r="R33" i="7"/>
  <c r="S33" i="7"/>
  <c r="I36" i="7"/>
  <c r="J36" i="7"/>
  <c r="K36" i="7"/>
  <c r="L36" i="7"/>
  <c r="M36" i="7"/>
  <c r="N36" i="7"/>
  <c r="O36" i="7"/>
  <c r="P36" i="7"/>
  <c r="Q36" i="7"/>
  <c r="Q40" i="7" s="1"/>
  <c r="R36" i="7"/>
  <c r="S36" i="7"/>
  <c r="T36" i="7"/>
  <c r="I39" i="7"/>
  <c r="J39" i="7"/>
  <c r="K39" i="7"/>
  <c r="L39" i="7"/>
  <c r="M39" i="7"/>
  <c r="N39" i="7"/>
  <c r="O39" i="7"/>
  <c r="P39" i="7"/>
  <c r="Q39" i="7"/>
  <c r="R39" i="7"/>
  <c r="S39" i="7"/>
  <c r="T39" i="7"/>
  <c r="O40" i="7"/>
  <c r="S40" i="7"/>
  <c r="I43" i="7"/>
  <c r="J43" i="7"/>
  <c r="K43" i="7"/>
  <c r="L43" i="7"/>
  <c r="M43" i="7"/>
  <c r="N43" i="7"/>
  <c r="O43" i="7"/>
  <c r="P43" i="7"/>
  <c r="Q43" i="7"/>
  <c r="R43" i="7"/>
  <c r="S43" i="7"/>
  <c r="T43" i="7"/>
  <c r="I46" i="7"/>
  <c r="J46" i="7"/>
  <c r="K46" i="7"/>
  <c r="L46" i="7"/>
  <c r="M46" i="7"/>
  <c r="N46" i="7"/>
  <c r="O46" i="7"/>
  <c r="P46" i="7"/>
  <c r="Q46" i="7"/>
  <c r="R46" i="7"/>
  <c r="S46" i="7"/>
  <c r="T46" i="7"/>
  <c r="I47" i="7"/>
  <c r="J47" i="7"/>
  <c r="O47" i="7"/>
  <c r="S47" i="7"/>
  <c r="I50" i="7"/>
  <c r="J50" i="7"/>
  <c r="K50" i="7"/>
  <c r="L50" i="7"/>
  <c r="M50" i="7"/>
  <c r="N50" i="7"/>
  <c r="O50" i="7"/>
  <c r="P50" i="7"/>
  <c r="Q50" i="7"/>
  <c r="R50" i="7"/>
  <c r="S50" i="7"/>
  <c r="T50" i="7"/>
  <c r="I53" i="7"/>
  <c r="J53" i="7"/>
  <c r="K53" i="7"/>
  <c r="L53" i="7"/>
  <c r="M53" i="7"/>
  <c r="N53" i="7"/>
  <c r="O53" i="7"/>
  <c r="P53" i="7"/>
  <c r="Q53" i="7"/>
  <c r="R53" i="7"/>
  <c r="S53" i="7"/>
  <c r="T53" i="7"/>
  <c r="I54" i="7"/>
  <c r="J54" i="7"/>
  <c r="O54" i="7"/>
  <c r="Q54" i="7"/>
  <c r="S54" i="7"/>
  <c r="I57" i="7"/>
  <c r="J57" i="7"/>
  <c r="K57" i="7"/>
  <c r="L57" i="7"/>
  <c r="M57" i="7"/>
  <c r="M61" i="7" s="1"/>
  <c r="N57" i="7"/>
  <c r="O57" i="7"/>
  <c r="P57" i="7"/>
  <c r="Q57" i="7"/>
  <c r="R57" i="7"/>
  <c r="S57" i="7"/>
  <c r="T57" i="7"/>
  <c r="I60" i="7"/>
  <c r="J60" i="7"/>
  <c r="K60" i="7"/>
  <c r="L60" i="7"/>
  <c r="M60" i="7"/>
  <c r="N60" i="7"/>
  <c r="O60" i="7"/>
  <c r="P60" i="7"/>
  <c r="Q60" i="7"/>
  <c r="R60" i="7"/>
  <c r="S60" i="7"/>
  <c r="T60" i="7"/>
  <c r="I61" i="7"/>
  <c r="J61" i="7"/>
  <c r="N61" i="7"/>
  <c r="Q61" i="7"/>
  <c r="I64" i="7"/>
  <c r="J64" i="7"/>
  <c r="K64" i="7"/>
  <c r="L64" i="7"/>
  <c r="M64" i="7"/>
  <c r="N64" i="7"/>
  <c r="O64" i="7"/>
  <c r="P64" i="7"/>
  <c r="Q64" i="7"/>
  <c r="R64" i="7"/>
  <c r="R68" i="7" s="1"/>
  <c r="S64" i="7"/>
  <c r="T64" i="7"/>
  <c r="I67" i="7"/>
  <c r="J67" i="7"/>
  <c r="K67" i="7"/>
  <c r="L67" i="7"/>
  <c r="M67" i="7"/>
  <c r="N67" i="7"/>
  <c r="O67" i="7"/>
  <c r="P67" i="7"/>
  <c r="Q67" i="7"/>
  <c r="R67" i="7"/>
  <c r="S67" i="7"/>
  <c r="T67" i="7"/>
  <c r="I68" i="7"/>
  <c r="J68" i="7"/>
  <c r="K68" i="7"/>
  <c r="Q68" i="7"/>
  <c r="I71" i="7"/>
  <c r="J71" i="7"/>
  <c r="K71" i="7"/>
  <c r="L71" i="7"/>
  <c r="M71" i="7"/>
  <c r="N71" i="7"/>
  <c r="O71" i="7"/>
  <c r="P71" i="7"/>
  <c r="Q71" i="7"/>
  <c r="R71" i="7"/>
  <c r="S71" i="7"/>
  <c r="T71" i="7"/>
  <c r="I74" i="7"/>
  <c r="J74" i="7"/>
  <c r="K74" i="7"/>
  <c r="L74" i="7"/>
  <c r="M74" i="7"/>
  <c r="N74" i="7"/>
  <c r="O74" i="7"/>
  <c r="P74" i="7"/>
  <c r="Q74" i="7"/>
  <c r="Q75" i="7" s="1"/>
  <c r="R74" i="7"/>
  <c r="S74" i="7"/>
  <c r="T74" i="7"/>
  <c r="I75" i="7"/>
  <c r="J75" i="7"/>
  <c r="O75" i="7"/>
  <c r="R75" i="7"/>
  <c r="I78" i="7"/>
  <c r="J78" i="7"/>
  <c r="K78" i="7"/>
  <c r="L78" i="7"/>
  <c r="M78" i="7"/>
  <c r="N78" i="7"/>
  <c r="O78" i="7"/>
  <c r="P78" i="7"/>
  <c r="Q78" i="7"/>
  <c r="R78" i="7"/>
  <c r="S78" i="7"/>
  <c r="T78" i="7"/>
  <c r="I81" i="7"/>
  <c r="J81" i="7"/>
  <c r="K81" i="7"/>
  <c r="L81" i="7"/>
  <c r="M81" i="7"/>
  <c r="N81" i="7"/>
  <c r="O81" i="7"/>
  <c r="P81" i="7"/>
  <c r="Q81" i="7"/>
  <c r="R81" i="7"/>
  <c r="S81" i="7"/>
  <c r="S82" i="7" s="1"/>
  <c r="T81" i="7"/>
  <c r="T82" i="7" s="1"/>
  <c r="I85" i="7"/>
  <c r="J85" i="7"/>
  <c r="K85" i="7"/>
  <c r="L85" i="7"/>
  <c r="M85" i="7"/>
  <c r="N85" i="7"/>
  <c r="O85" i="7"/>
  <c r="P85" i="7"/>
  <c r="Q85" i="7"/>
  <c r="Q89" i="7" s="1"/>
  <c r="R85" i="7"/>
  <c r="S85" i="7"/>
  <c r="S89" i="7" s="1"/>
  <c r="T85" i="7"/>
  <c r="I88" i="7"/>
  <c r="J88" i="7"/>
  <c r="K88" i="7"/>
  <c r="L88" i="7"/>
  <c r="M88" i="7"/>
  <c r="N88" i="7"/>
  <c r="O88" i="7"/>
  <c r="P88" i="7"/>
  <c r="Q88" i="7"/>
  <c r="R88" i="7"/>
  <c r="S88" i="7"/>
  <c r="T88" i="7"/>
  <c r="I89" i="7"/>
  <c r="J89" i="7"/>
  <c r="O89" i="7"/>
  <c r="I92" i="7"/>
  <c r="J92" i="7"/>
  <c r="K92" i="7"/>
  <c r="L92" i="7"/>
  <c r="M92" i="7"/>
  <c r="N92" i="7"/>
  <c r="O92" i="7"/>
  <c r="P92" i="7"/>
  <c r="Q92" i="7"/>
  <c r="R92" i="7"/>
  <c r="S92" i="7"/>
  <c r="T92" i="7"/>
  <c r="I95" i="7"/>
  <c r="J95" i="7"/>
  <c r="K95" i="7"/>
  <c r="L95" i="7"/>
  <c r="M95" i="7"/>
  <c r="N95" i="7"/>
  <c r="O95" i="7"/>
  <c r="P95" i="7"/>
  <c r="P96" i="7" s="1"/>
  <c r="Q95" i="7"/>
  <c r="Q96" i="7" s="1"/>
  <c r="R95" i="7"/>
  <c r="S95" i="7"/>
  <c r="T95" i="7"/>
  <c r="I96" i="7"/>
  <c r="J96" i="7"/>
  <c r="O96" i="7"/>
  <c r="I99" i="7"/>
  <c r="J99" i="7"/>
  <c r="K99" i="7"/>
  <c r="L99" i="7"/>
  <c r="M99" i="7"/>
  <c r="N99" i="7"/>
  <c r="O99" i="7"/>
  <c r="P99" i="7"/>
  <c r="Q99" i="7"/>
  <c r="Q103" i="7" s="1"/>
  <c r="R99" i="7"/>
  <c r="S99" i="7"/>
  <c r="S103" i="7" s="1"/>
  <c r="T99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I103" i="7"/>
  <c r="J103" i="7"/>
  <c r="O103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I110" i="7"/>
  <c r="J110" i="7"/>
  <c r="O110" i="7"/>
  <c r="I113" i="7"/>
  <c r="J113" i="7"/>
  <c r="K113" i="7"/>
  <c r="L113" i="7"/>
  <c r="M113" i="7"/>
  <c r="N113" i="7"/>
  <c r="O113" i="7"/>
  <c r="P113" i="7"/>
  <c r="Q113" i="7"/>
  <c r="Q117" i="7" s="1"/>
  <c r="R113" i="7"/>
  <c r="S113" i="7"/>
  <c r="S117" i="7" s="1"/>
  <c r="T113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I117" i="7"/>
  <c r="J117" i="7"/>
  <c r="O117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I123" i="7"/>
  <c r="J123" i="7"/>
  <c r="J124" i="7" s="1"/>
  <c r="K123" i="7"/>
  <c r="L123" i="7"/>
  <c r="M123" i="7"/>
  <c r="N123" i="7"/>
  <c r="O123" i="7"/>
  <c r="P123" i="7"/>
  <c r="Q123" i="7"/>
  <c r="R123" i="7"/>
  <c r="S123" i="7"/>
  <c r="T123" i="7"/>
  <c r="I124" i="7"/>
  <c r="O124" i="7"/>
  <c r="S124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I131" i="7"/>
  <c r="J131" i="7"/>
  <c r="O131" i="7"/>
  <c r="Q131" i="7"/>
  <c r="S131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I138" i="7"/>
  <c r="J138" i="7"/>
  <c r="O138" i="7"/>
  <c r="I141" i="7"/>
  <c r="J141" i="7"/>
  <c r="K141" i="7"/>
  <c r="L141" i="7"/>
  <c r="M141" i="7"/>
  <c r="N141" i="7"/>
  <c r="O141" i="7"/>
  <c r="P141" i="7"/>
  <c r="Q141" i="7"/>
  <c r="R141" i="7"/>
  <c r="R145" i="7" s="1"/>
  <c r="S141" i="7"/>
  <c r="T141" i="7"/>
  <c r="I144" i="7"/>
  <c r="J144" i="7"/>
  <c r="J145" i="7" s="1"/>
  <c r="K144" i="7"/>
  <c r="L144" i="7"/>
  <c r="M144" i="7"/>
  <c r="N144" i="7"/>
  <c r="O144" i="7"/>
  <c r="P144" i="7"/>
  <c r="Q144" i="7"/>
  <c r="R144" i="7"/>
  <c r="S144" i="7"/>
  <c r="T144" i="7"/>
  <c r="I145" i="7"/>
  <c r="K145" i="7"/>
  <c r="M145" i="7"/>
  <c r="Q145" i="7"/>
  <c r="I148" i="7"/>
  <c r="J148" i="7"/>
  <c r="K148" i="7"/>
  <c r="L148" i="7"/>
  <c r="M148" i="7"/>
  <c r="N148" i="7"/>
  <c r="O148" i="7"/>
  <c r="P148" i="7"/>
  <c r="Q148" i="7"/>
  <c r="Q152" i="7" s="1"/>
  <c r="R148" i="7"/>
  <c r="S148" i="7"/>
  <c r="T148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I152" i="7"/>
  <c r="J152" i="7"/>
  <c r="O152" i="7"/>
  <c r="S152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I159" i="7"/>
  <c r="J159" i="7"/>
  <c r="O159" i="7"/>
  <c r="I162" i="7"/>
  <c r="J162" i="7"/>
  <c r="K162" i="7"/>
  <c r="L162" i="7"/>
  <c r="M162" i="7"/>
  <c r="N162" i="7"/>
  <c r="O162" i="7"/>
  <c r="P162" i="7"/>
  <c r="Q162" i="7"/>
  <c r="Q166" i="7" s="1"/>
  <c r="R162" i="7"/>
  <c r="S162" i="7"/>
  <c r="T162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I166" i="7"/>
  <c r="J166" i="7"/>
  <c r="O166" i="7"/>
  <c r="S166" i="7"/>
  <c r="I169" i="7"/>
  <c r="J169" i="7"/>
  <c r="K169" i="7"/>
  <c r="L169" i="7"/>
  <c r="M169" i="7"/>
  <c r="N169" i="7"/>
  <c r="O169" i="7"/>
  <c r="P169" i="7"/>
  <c r="Q169" i="7"/>
  <c r="R169" i="7"/>
  <c r="R173" i="7" s="1"/>
  <c r="S169" i="7"/>
  <c r="T169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I173" i="7"/>
  <c r="J173" i="7"/>
  <c r="K173" i="7"/>
  <c r="P173" i="7"/>
  <c r="I176" i="7"/>
  <c r="J176" i="7"/>
  <c r="K176" i="7"/>
  <c r="L176" i="7"/>
  <c r="M176" i="7"/>
  <c r="N176" i="7"/>
  <c r="O176" i="7"/>
  <c r="P176" i="7"/>
  <c r="Q176" i="7"/>
  <c r="Q180" i="7" s="1"/>
  <c r="R176" i="7"/>
  <c r="S176" i="7"/>
  <c r="S180" i="7" s="1"/>
  <c r="T176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I180" i="7"/>
  <c r="J180" i="7"/>
  <c r="O180" i="7"/>
  <c r="I183" i="7"/>
  <c r="J183" i="7"/>
  <c r="K183" i="7"/>
  <c r="L183" i="7"/>
  <c r="M183" i="7"/>
  <c r="N183" i="7"/>
  <c r="O183" i="7"/>
  <c r="P183" i="7"/>
  <c r="P187" i="7" s="1"/>
  <c r="Q183" i="7"/>
  <c r="R183" i="7"/>
  <c r="R187" i="7" s="1"/>
  <c r="S183" i="7"/>
  <c r="T183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I187" i="7"/>
  <c r="J187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M194" i="7"/>
  <c r="Q194" i="7"/>
  <c r="S194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I200" i="7"/>
  <c r="J200" i="7"/>
  <c r="K200" i="7"/>
  <c r="L200" i="7"/>
  <c r="M200" i="7"/>
  <c r="N200" i="7"/>
  <c r="O200" i="7"/>
  <c r="P200" i="7"/>
  <c r="Q200" i="7"/>
  <c r="R200" i="7"/>
  <c r="S200" i="7"/>
  <c r="S201" i="7" s="1"/>
  <c r="T200" i="7"/>
  <c r="M201" i="7"/>
  <c r="N201" i="7"/>
  <c r="O201" i="7"/>
  <c r="P201" i="7"/>
  <c r="Q201" i="7"/>
  <c r="R201" i="7"/>
  <c r="I204" i="7"/>
  <c r="J204" i="7"/>
  <c r="K204" i="7"/>
  <c r="L204" i="7"/>
  <c r="M204" i="7"/>
  <c r="N204" i="7"/>
  <c r="O204" i="7"/>
  <c r="P204" i="7"/>
  <c r="Q204" i="7"/>
  <c r="Q208" i="7" s="1"/>
  <c r="R204" i="7"/>
  <c r="S204" i="7"/>
  <c r="T204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I208" i="7"/>
  <c r="J208" i="7"/>
  <c r="O208" i="7"/>
  <c r="S208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I215" i="7"/>
  <c r="J215" i="7"/>
  <c r="O215" i="7"/>
  <c r="S215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M222" i="7"/>
  <c r="N222" i="7"/>
  <c r="Q222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I229" i="7"/>
  <c r="N229" i="7"/>
  <c r="P229" i="7"/>
  <c r="R229" i="7"/>
  <c r="T229" i="7"/>
  <c r="I232" i="7"/>
  <c r="J232" i="7"/>
  <c r="K232" i="7"/>
  <c r="L232" i="7"/>
  <c r="M232" i="7"/>
  <c r="N232" i="7"/>
  <c r="N236" i="7" s="1"/>
  <c r="O232" i="7"/>
  <c r="P232" i="7"/>
  <c r="P236" i="7" s="1"/>
  <c r="Q232" i="7"/>
  <c r="R232" i="7"/>
  <c r="R236" i="7" s="1"/>
  <c r="S232" i="7"/>
  <c r="T232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O236" i="7"/>
  <c r="Q236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I243" i="7"/>
  <c r="N243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J250" i="7"/>
  <c r="N250" i="7"/>
  <c r="P250" i="7"/>
  <c r="R250" i="7"/>
  <c r="I253" i="7"/>
  <c r="J253" i="7"/>
  <c r="K253" i="7"/>
  <c r="L253" i="7"/>
  <c r="M253" i="7"/>
  <c r="M257" i="7" s="1"/>
  <c r="N253" i="7"/>
  <c r="O253" i="7"/>
  <c r="P253" i="7"/>
  <c r="Q253" i="7"/>
  <c r="R253" i="7"/>
  <c r="S253" i="7"/>
  <c r="S257" i="7" s="1"/>
  <c r="T253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I257" i="7"/>
  <c r="I260" i="7"/>
  <c r="I264" i="7" s="1"/>
  <c r="J260" i="7"/>
  <c r="J264" i="7" s="1"/>
  <c r="K260" i="7"/>
  <c r="K264" i="7" s="1"/>
  <c r="L260" i="7"/>
  <c r="L264" i="7" s="1"/>
  <c r="M260" i="7"/>
  <c r="M264" i="7" s="1"/>
  <c r="N260" i="7"/>
  <c r="O260" i="7"/>
  <c r="O264" i="7" s="1"/>
  <c r="P260" i="7"/>
  <c r="Q260" i="7"/>
  <c r="R260" i="7"/>
  <c r="S260" i="7"/>
  <c r="S264" i="7" s="1"/>
  <c r="T260" i="7"/>
  <c r="T264" i="7" s="1"/>
  <c r="I263" i="7"/>
  <c r="J263" i="7"/>
  <c r="K263" i="7"/>
  <c r="L263" i="7"/>
  <c r="M263" i="7"/>
  <c r="N263" i="7"/>
  <c r="O263" i="7"/>
  <c r="P263" i="7"/>
  <c r="Q263" i="7"/>
  <c r="R263" i="7"/>
  <c r="S263" i="7"/>
  <c r="T263" i="7"/>
  <c r="N264" i="7"/>
  <c r="P264" i="7"/>
  <c r="Q264" i="7"/>
  <c r="R264" i="7"/>
  <c r="T11" i="7"/>
  <c r="S11" i="7"/>
  <c r="R11" i="7"/>
  <c r="Q11" i="7"/>
  <c r="P11" i="7"/>
  <c r="O11" i="7"/>
  <c r="N11" i="7"/>
  <c r="M11" i="7"/>
  <c r="L11" i="7"/>
  <c r="K11" i="7"/>
  <c r="J11" i="7"/>
  <c r="I11" i="7"/>
  <c r="T8" i="7"/>
  <c r="T12" i="7" s="1"/>
  <c r="S8" i="7"/>
  <c r="S12" i="7" s="1"/>
  <c r="R8" i="7"/>
  <c r="R12" i="7" s="1"/>
  <c r="Q8" i="7"/>
  <c r="Q12" i="7" s="1"/>
  <c r="P8" i="7"/>
  <c r="P12" i="7" s="1"/>
  <c r="O8" i="7"/>
  <c r="O12" i="7" s="1"/>
  <c r="N8" i="7"/>
  <c r="N12" i="7" s="1"/>
  <c r="M8" i="7"/>
  <c r="M12" i="7" s="1"/>
  <c r="L8" i="7"/>
  <c r="L12" i="7" s="1"/>
  <c r="K8" i="7"/>
  <c r="K12" i="7" s="1"/>
  <c r="J8" i="7"/>
  <c r="J12" i="7" s="1"/>
  <c r="I8" i="7"/>
  <c r="I12" i="7" s="1"/>
  <c r="Q138" i="7" l="1"/>
  <c r="R243" i="7"/>
  <c r="Q187" i="7"/>
  <c r="S159" i="7"/>
  <c r="Q124" i="7"/>
  <c r="Q110" i="7"/>
  <c r="Q47" i="7"/>
  <c r="O82" i="7"/>
  <c r="J236" i="7"/>
  <c r="S138" i="7"/>
  <c r="Q82" i="7"/>
  <c r="S61" i="7"/>
  <c r="R19" i="7"/>
  <c r="R194" i="7"/>
  <c r="O257" i="7"/>
  <c r="T243" i="7"/>
  <c r="P243" i="7"/>
  <c r="Q215" i="7"/>
  <c r="Q173" i="7"/>
  <c r="M173" i="7"/>
  <c r="Q159" i="7"/>
  <c r="S110" i="7"/>
  <c r="M68" i="7"/>
  <c r="Q257" i="7"/>
  <c r="Q250" i="7"/>
  <c r="T194" i="7"/>
  <c r="R166" i="7"/>
  <c r="N145" i="7"/>
  <c r="N117" i="7"/>
  <c r="P40" i="7"/>
  <c r="P257" i="7"/>
  <c r="Q243" i="7"/>
  <c r="M243" i="7"/>
  <c r="R159" i="7"/>
  <c r="N159" i="7"/>
  <c r="R138" i="7"/>
  <c r="N138" i="7"/>
  <c r="R110" i="7"/>
  <c r="N110" i="7"/>
  <c r="N96" i="7"/>
  <c r="N75" i="7"/>
  <c r="R61" i="7"/>
  <c r="Q229" i="7"/>
  <c r="N166" i="7"/>
  <c r="R152" i="7"/>
  <c r="N152" i="7"/>
  <c r="R131" i="7"/>
  <c r="N131" i="7"/>
  <c r="R103" i="7"/>
  <c r="N103" i="7"/>
  <c r="R89" i="7"/>
  <c r="N89" i="7"/>
  <c r="R54" i="7"/>
  <c r="N54" i="7"/>
  <c r="N19" i="7"/>
  <c r="P194" i="7"/>
  <c r="R117" i="7"/>
  <c r="R257" i="7"/>
  <c r="N257" i="7"/>
  <c r="R124" i="7"/>
  <c r="N124" i="7"/>
  <c r="P82" i="7"/>
  <c r="N68" i="7"/>
  <c r="R47" i="7"/>
  <c r="N47" i="7"/>
  <c r="J257" i="7"/>
  <c r="S250" i="7"/>
  <c r="T257" i="7"/>
  <c r="L257" i="7"/>
  <c r="M250" i="7"/>
  <c r="I250" i="7"/>
  <c r="S243" i="7"/>
  <c r="O243" i="7"/>
  <c r="K243" i="7"/>
  <c r="M236" i="7"/>
  <c r="I236" i="7"/>
  <c r="S229" i="7"/>
  <c r="O229" i="7"/>
  <c r="K229" i="7"/>
  <c r="R222" i="7"/>
  <c r="J222" i="7"/>
  <c r="T208" i="7"/>
  <c r="P208" i="7"/>
  <c r="L208" i="7"/>
  <c r="J201" i="7"/>
  <c r="L194" i="7"/>
  <c r="R180" i="7"/>
  <c r="N180" i="7"/>
  <c r="T152" i="7"/>
  <c r="P152" i="7"/>
  <c r="L152" i="7"/>
  <c r="T131" i="7"/>
  <c r="P131" i="7"/>
  <c r="L131" i="7"/>
  <c r="T103" i="7"/>
  <c r="P103" i="7"/>
  <c r="L103" i="7"/>
  <c r="T89" i="7"/>
  <c r="P89" i="7"/>
  <c r="L89" i="7"/>
  <c r="T54" i="7"/>
  <c r="P54" i="7"/>
  <c r="L54" i="7"/>
  <c r="P19" i="7"/>
  <c r="K257" i="7"/>
  <c r="T250" i="7"/>
  <c r="L250" i="7"/>
  <c r="J243" i="7"/>
  <c r="T236" i="7"/>
  <c r="L236" i="7"/>
  <c r="J229" i="7"/>
  <c r="R215" i="7"/>
  <c r="N215" i="7"/>
  <c r="T187" i="7"/>
  <c r="L187" i="7"/>
  <c r="T173" i="7"/>
  <c r="L173" i="7"/>
  <c r="T124" i="7"/>
  <c r="P124" i="7"/>
  <c r="L124" i="7"/>
  <c r="R82" i="7"/>
  <c r="N82" i="7"/>
  <c r="J82" i="7"/>
  <c r="T68" i="7"/>
  <c r="P68" i="7"/>
  <c r="L68" i="7"/>
  <c r="T47" i="7"/>
  <c r="P47" i="7"/>
  <c r="L47" i="7"/>
  <c r="R26" i="7"/>
  <c r="N26" i="7"/>
  <c r="J26" i="7"/>
  <c r="O250" i="7"/>
  <c r="K250" i="7"/>
  <c r="T166" i="7"/>
  <c r="P166" i="7"/>
  <c r="L166" i="7"/>
  <c r="T145" i="7"/>
  <c r="P145" i="7"/>
  <c r="L145" i="7"/>
  <c r="T117" i="7"/>
  <c r="P117" i="7"/>
  <c r="L117" i="7"/>
  <c r="R40" i="7"/>
  <c r="N40" i="7"/>
  <c r="J40" i="7"/>
  <c r="M33" i="7"/>
  <c r="I33" i="7"/>
  <c r="S236" i="7"/>
  <c r="K236" i="7"/>
  <c r="M229" i="7"/>
  <c r="T222" i="7"/>
  <c r="P222" i="7"/>
  <c r="L222" i="7"/>
  <c r="R208" i="7"/>
  <c r="N208" i="7"/>
  <c r="T201" i="7"/>
  <c r="L201" i="7"/>
  <c r="N194" i="7"/>
  <c r="J194" i="7"/>
  <c r="T180" i="7"/>
  <c r="P180" i="7"/>
  <c r="L180" i="7"/>
  <c r="L243" i="7"/>
  <c r="L229" i="7"/>
  <c r="T215" i="7"/>
  <c r="P215" i="7"/>
  <c r="L215" i="7"/>
  <c r="N187" i="7"/>
  <c r="N173" i="7"/>
  <c r="T159" i="7"/>
  <c r="P159" i="7"/>
  <c r="L159" i="7"/>
  <c r="T138" i="7"/>
  <c r="P138" i="7"/>
  <c r="L138" i="7"/>
  <c r="T110" i="7"/>
  <c r="P110" i="7"/>
  <c r="L110" i="7"/>
  <c r="L96" i="7"/>
  <c r="T75" i="7"/>
  <c r="P75" i="7"/>
  <c r="L75" i="7"/>
  <c r="T61" i="7"/>
  <c r="P61" i="7"/>
  <c r="L61" i="7"/>
  <c r="S222" i="7"/>
  <c r="O222" i="7"/>
  <c r="K222" i="7"/>
  <c r="K215" i="7"/>
  <c r="K208" i="7"/>
  <c r="I201" i="7"/>
  <c r="I194" i="7"/>
  <c r="S187" i="7"/>
  <c r="O187" i="7"/>
  <c r="K187" i="7"/>
  <c r="K180" i="7"/>
  <c r="S173" i="7"/>
  <c r="O173" i="7"/>
  <c r="K166" i="7"/>
  <c r="K159" i="7"/>
  <c r="K152" i="7"/>
  <c r="S145" i="7"/>
  <c r="O145" i="7"/>
  <c r="K138" i="7"/>
  <c r="K131" i="7"/>
  <c r="K124" i="7"/>
  <c r="K117" i="7"/>
  <c r="K110" i="7"/>
  <c r="K103" i="7"/>
  <c r="S96" i="7"/>
  <c r="K96" i="7"/>
  <c r="K89" i="7"/>
  <c r="M82" i="7"/>
  <c r="I82" i="7"/>
  <c r="S75" i="7"/>
  <c r="K75" i="7"/>
  <c r="S68" i="7"/>
  <c r="O68" i="7"/>
  <c r="O61" i="7"/>
  <c r="K61" i="7"/>
  <c r="K54" i="7"/>
  <c r="K47" i="7"/>
  <c r="M40" i="7"/>
  <c r="I40" i="7"/>
  <c r="T33" i="7"/>
  <c r="L33" i="7"/>
  <c r="Q26" i="7"/>
  <c r="M26" i="7"/>
  <c r="L82" i="7"/>
  <c r="T40" i="7"/>
  <c r="L40" i="7"/>
  <c r="K33" i="7"/>
  <c r="T26" i="7"/>
  <c r="P26" i="7"/>
  <c r="L26" i="7"/>
  <c r="I222" i="7"/>
  <c r="M215" i="7"/>
  <c r="M208" i="7"/>
  <c r="K201" i="7"/>
  <c r="O194" i="7"/>
  <c r="K194" i="7"/>
  <c r="M187" i="7"/>
  <c r="M180" i="7"/>
  <c r="M166" i="7"/>
  <c r="M159" i="7"/>
  <c r="M152" i="7"/>
  <c r="M138" i="7"/>
  <c r="M131" i="7"/>
  <c r="M124" i="7"/>
  <c r="M117" i="7"/>
  <c r="M110" i="7"/>
  <c r="M103" i="7"/>
  <c r="M96" i="7"/>
  <c r="M89" i="7"/>
  <c r="K82" i="7"/>
  <c r="M75" i="7"/>
  <c r="M54" i="7"/>
  <c r="M47" i="7"/>
  <c r="K40" i="7"/>
  <c r="S26" i="7"/>
  <c r="O26" i="7"/>
  <c r="K26" i="7"/>
  <c r="T96" i="7"/>
  <c r="I26" i="7"/>
  <c r="S19" i="7"/>
  <c r="K19" i="7"/>
  <c r="L19" i="7"/>
  <c r="M19" i="7"/>
  <c r="R96" i="7"/>
  <c r="T19" i="7"/>
  <c r="V262" i="7" l="1"/>
  <c r="W262" i="7" s="1"/>
  <c r="V261" i="7"/>
  <c r="W261" i="7" s="1"/>
  <c r="V259" i="7"/>
  <c r="W259" i="7" s="1"/>
  <c r="V258" i="7"/>
  <c r="W258" i="7" s="1"/>
  <c r="V255" i="7"/>
  <c r="W255" i="7" s="1"/>
  <c r="V254" i="7"/>
  <c r="W254" i="7" s="1"/>
  <c r="V252" i="7"/>
  <c r="W252" i="7" s="1"/>
  <c r="V251" i="7"/>
  <c r="W251" i="7" s="1"/>
  <c r="V248" i="7"/>
  <c r="W248" i="7" s="1"/>
  <c r="V247" i="7"/>
  <c r="W247" i="7" s="1"/>
  <c r="V245" i="7"/>
  <c r="W245" i="7" s="1"/>
  <c r="V244" i="7"/>
  <c r="W244" i="7" s="1"/>
  <c r="V241" i="7"/>
  <c r="W241" i="7" s="1"/>
  <c r="V240" i="7"/>
  <c r="W240" i="7" s="1"/>
  <c r="V238" i="7"/>
  <c r="W238" i="7" s="1"/>
  <c r="V237" i="7"/>
  <c r="W237" i="7" s="1"/>
  <c r="V234" i="7"/>
  <c r="W234" i="7" s="1"/>
  <c r="V233" i="7"/>
  <c r="W233" i="7" s="1"/>
  <c r="V231" i="7"/>
  <c r="W231" i="7" s="1"/>
  <c r="V230" i="7"/>
  <c r="W230" i="7" s="1"/>
  <c r="V227" i="7"/>
  <c r="W227" i="7" s="1"/>
  <c r="V226" i="7"/>
  <c r="W226" i="7" s="1"/>
  <c r="V224" i="7"/>
  <c r="W224" i="7" s="1"/>
  <c r="V223" i="7"/>
  <c r="W223" i="7" s="1"/>
  <c r="V220" i="7"/>
  <c r="W220" i="7" s="1"/>
  <c r="V219" i="7"/>
  <c r="W219" i="7" s="1"/>
  <c r="V217" i="7"/>
  <c r="W217" i="7" s="1"/>
  <c r="V216" i="7"/>
  <c r="W216" i="7" s="1"/>
  <c r="V213" i="7"/>
  <c r="W213" i="7" s="1"/>
  <c r="V212" i="7"/>
  <c r="W212" i="7" s="1"/>
  <c r="V210" i="7"/>
  <c r="W210" i="7" s="1"/>
  <c r="V209" i="7"/>
  <c r="W209" i="7" s="1"/>
  <c r="V206" i="7"/>
  <c r="W206" i="7" s="1"/>
  <c r="V205" i="7"/>
  <c r="W205" i="7" s="1"/>
  <c r="V203" i="7"/>
  <c r="W203" i="7" s="1"/>
  <c r="V202" i="7"/>
  <c r="W202" i="7" s="1"/>
  <c r="V199" i="7"/>
  <c r="W199" i="7" s="1"/>
  <c r="V198" i="7"/>
  <c r="W198" i="7" s="1"/>
  <c r="V196" i="7"/>
  <c r="W196" i="7" s="1"/>
  <c r="V195" i="7"/>
  <c r="W195" i="7" s="1"/>
  <c r="V192" i="7"/>
  <c r="W192" i="7" s="1"/>
  <c r="V191" i="7"/>
  <c r="W191" i="7" s="1"/>
  <c r="V189" i="7"/>
  <c r="W189" i="7" s="1"/>
  <c r="V188" i="7"/>
  <c r="W188" i="7" s="1"/>
  <c r="V185" i="7"/>
  <c r="W185" i="7" s="1"/>
  <c r="V184" i="7"/>
  <c r="W184" i="7" s="1"/>
  <c r="V182" i="7"/>
  <c r="W182" i="7" s="1"/>
  <c r="V181" i="7"/>
  <c r="W181" i="7" s="1"/>
  <c r="V178" i="7"/>
  <c r="W178" i="7" s="1"/>
  <c r="V177" i="7"/>
  <c r="W177" i="7" s="1"/>
  <c r="V175" i="7"/>
  <c r="W175" i="7" s="1"/>
  <c r="V174" i="7"/>
  <c r="W174" i="7" s="1"/>
  <c r="V171" i="7"/>
  <c r="W171" i="7" s="1"/>
  <c r="V170" i="7"/>
  <c r="W170" i="7" s="1"/>
  <c r="V168" i="7"/>
  <c r="W168" i="7" s="1"/>
  <c r="V167" i="7"/>
  <c r="W167" i="7" s="1"/>
  <c r="V164" i="7"/>
  <c r="W164" i="7" s="1"/>
  <c r="V163" i="7"/>
  <c r="W163" i="7" s="1"/>
  <c r="V161" i="7"/>
  <c r="W161" i="7" s="1"/>
  <c r="V160" i="7"/>
  <c r="W160" i="7" s="1"/>
  <c r="V157" i="7"/>
  <c r="W157" i="7" s="1"/>
  <c r="V156" i="7"/>
  <c r="W156" i="7" s="1"/>
  <c r="V154" i="7"/>
  <c r="W154" i="7" s="1"/>
  <c r="V153" i="7"/>
  <c r="W153" i="7" s="1"/>
  <c r="V150" i="7"/>
  <c r="W150" i="7" s="1"/>
  <c r="V149" i="7"/>
  <c r="W149" i="7" s="1"/>
  <c r="V147" i="7"/>
  <c r="W147" i="7" s="1"/>
  <c r="V146" i="7"/>
  <c r="W146" i="7" s="1"/>
  <c r="V143" i="7"/>
  <c r="W143" i="7" s="1"/>
  <c r="V142" i="7"/>
  <c r="W142" i="7" s="1"/>
  <c r="V140" i="7"/>
  <c r="W140" i="7" s="1"/>
  <c r="V139" i="7"/>
  <c r="W139" i="7" s="1"/>
  <c r="V136" i="7"/>
  <c r="W136" i="7" s="1"/>
  <c r="V135" i="7"/>
  <c r="W135" i="7" s="1"/>
  <c r="V133" i="7"/>
  <c r="W133" i="7" s="1"/>
  <c r="V132" i="7"/>
  <c r="W132" i="7" s="1"/>
  <c r="V129" i="7"/>
  <c r="W129" i="7" s="1"/>
  <c r="V128" i="7"/>
  <c r="W128" i="7" s="1"/>
  <c r="V126" i="7"/>
  <c r="W126" i="7" s="1"/>
  <c r="V125" i="7"/>
  <c r="W125" i="7" s="1"/>
  <c r="V122" i="7"/>
  <c r="W122" i="7" s="1"/>
  <c r="V121" i="7"/>
  <c r="W121" i="7" s="1"/>
  <c r="V119" i="7"/>
  <c r="W119" i="7" s="1"/>
  <c r="V118" i="7"/>
  <c r="W118" i="7" s="1"/>
  <c r="V115" i="7"/>
  <c r="W115" i="7" s="1"/>
  <c r="V114" i="7"/>
  <c r="W114" i="7" s="1"/>
  <c r="V112" i="7"/>
  <c r="W112" i="7" s="1"/>
  <c r="V111" i="7"/>
  <c r="W111" i="7" s="1"/>
  <c r="V108" i="7"/>
  <c r="W108" i="7" s="1"/>
  <c r="V107" i="7"/>
  <c r="W107" i="7" s="1"/>
  <c r="V105" i="7"/>
  <c r="W105" i="7" s="1"/>
  <c r="V104" i="7"/>
  <c r="W104" i="7" s="1"/>
  <c r="V101" i="7"/>
  <c r="W101" i="7" s="1"/>
  <c r="V100" i="7"/>
  <c r="W100" i="7" s="1"/>
  <c r="V99" i="7"/>
  <c r="W99" i="7" s="1"/>
  <c r="V98" i="7"/>
  <c r="W98" i="7" s="1"/>
  <c r="V97" i="7"/>
  <c r="W97" i="7" s="1"/>
  <c r="V94" i="7"/>
  <c r="W94" i="7" s="1"/>
  <c r="V93" i="7"/>
  <c r="W93" i="7" s="1"/>
  <c r="V91" i="7"/>
  <c r="W91" i="7" s="1"/>
  <c r="V90" i="7"/>
  <c r="W90" i="7" s="1"/>
  <c r="V87" i="7"/>
  <c r="W87" i="7" s="1"/>
  <c r="V86" i="7"/>
  <c r="W86" i="7" s="1"/>
  <c r="V84" i="7"/>
  <c r="W84" i="7" s="1"/>
  <c r="V83" i="7"/>
  <c r="W83" i="7" s="1"/>
  <c r="V80" i="7"/>
  <c r="W80" i="7" s="1"/>
  <c r="V79" i="7"/>
  <c r="W79" i="7" s="1"/>
  <c r="V77" i="7"/>
  <c r="W77" i="7" s="1"/>
  <c r="V76" i="7"/>
  <c r="W76" i="7" s="1"/>
  <c r="V73" i="7"/>
  <c r="W73" i="7" s="1"/>
  <c r="V72" i="7"/>
  <c r="W72" i="7" s="1"/>
  <c r="V70" i="7"/>
  <c r="W70" i="7" s="1"/>
  <c r="V69" i="7"/>
  <c r="W69" i="7" s="1"/>
  <c r="V66" i="7"/>
  <c r="W66" i="7" s="1"/>
  <c r="V65" i="7"/>
  <c r="W65" i="7" s="1"/>
  <c r="V64" i="7"/>
  <c r="W64" i="7" s="1"/>
  <c r="V63" i="7"/>
  <c r="W63" i="7" s="1"/>
  <c r="V62" i="7"/>
  <c r="W62" i="7" s="1"/>
  <c r="V59" i="7"/>
  <c r="W59" i="7" s="1"/>
  <c r="V58" i="7"/>
  <c r="W58" i="7" s="1"/>
  <c r="V56" i="7"/>
  <c r="W56" i="7" s="1"/>
  <c r="V55" i="7"/>
  <c r="W55" i="7" s="1"/>
  <c r="V52" i="7"/>
  <c r="W52" i="7" s="1"/>
  <c r="V51" i="7"/>
  <c r="W51" i="7" s="1"/>
  <c r="V49" i="7"/>
  <c r="W49" i="7" s="1"/>
  <c r="V48" i="7"/>
  <c r="W48" i="7" s="1"/>
  <c r="V45" i="7"/>
  <c r="W45" i="7" s="1"/>
  <c r="V44" i="7"/>
  <c r="W44" i="7" s="1"/>
  <c r="V42" i="7"/>
  <c r="W42" i="7" s="1"/>
  <c r="V41" i="7"/>
  <c r="W41" i="7" s="1"/>
  <c r="V38" i="7"/>
  <c r="W38" i="7" s="1"/>
  <c r="V37" i="7"/>
  <c r="W37" i="7" s="1"/>
  <c r="V35" i="7"/>
  <c r="W35" i="7" s="1"/>
  <c r="V34" i="7"/>
  <c r="W34" i="7" s="1"/>
  <c r="V31" i="7"/>
  <c r="W31" i="7" s="1"/>
  <c r="V30" i="7"/>
  <c r="W30" i="7" s="1"/>
  <c r="V28" i="7"/>
  <c r="W28" i="7" s="1"/>
  <c r="V27" i="7"/>
  <c r="W27" i="7" s="1"/>
  <c r="V24" i="7"/>
  <c r="W24" i="7" s="1"/>
  <c r="V23" i="7"/>
  <c r="W23" i="7" s="1"/>
  <c r="V21" i="7"/>
  <c r="W21" i="7" s="1"/>
  <c r="V20" i="7"/>
  <c r="W20" i="7" s="1"/>
  <c r="V18" i="7"/>
  <c r="W18" i="7" s="1"/>
  <c r="V17" i="7"/>
  <c r="W17" i="7" s="1"/>
  <c r="V16" i="7"/>
  <c r="W16" i="7" s="1"/>
  <c r="V14" i="7"/>
  <c r="W14" i="7" s="1"/>
  <c r="V13" i="7"/>
  <c r="W13" i="7" s="1"/>
  <c r="V10" i="7"/>
  <c r="W10" i="7" s="1"/>
  <c r="V9" i="7"/>
  <c r="W9" i="7" s="1"/>
  <c r="V7" i="7"/>
  <c r="W7" i="7" s="1"/>
  <c r="V6" i="7"/>
  <c r="W6" i="7" s="1"/>
  <c r="V214" i="7" l="1"/>
  <c r="W214" i="7" s="1"/>
  <c r="V137" i="7"/>
  <c r="W137" i="7" s="1"/>
  <c r="V158" i="7"/>
  <c r="W158" i="7" s="1"/>
  <c r="V11" i="7"/>
  <c r="W11" i="7" s="1"/>
  <c r="V39" i="7"/>
  <c r="W39" i="7" s="1"/>
  <c r="V46" i="7"/>
  <c r="W46" i="7" s="1"/>
  <c r="V53" i="7"/>
  <c r="W53" i="7" s="1"/>
  <c r="V60" i="7"/>
  <c r="W60" i="7" s="1"/>
  <c r="V74" i="7"/>
  <c r="W74" i="7" s="1"/>
  <c r="V106" i="7"/>
  <c r="W106" i="7" s="1"/>
  <c r="V134" i="7"/>
  <c r="W134" i="7" s="1"/>
  <c r="V144" i="7"/>
  <c r="W144" i="7" s="1"/>
  <c r="V152" i="7"/>
  <c r="W152" i="7" s="1"/>
  <c r="V151" i="7"/>
  <c r="W151" i="7" s="1"/>
  <c r="V15" i="7"/>
  <c r="W15" i="7" s="1"/>
  <c r="V25" i="7"/>
  <c r="W25" i="7" s="1"/>
  <c r="V29" i="7"/>
  <c r="W29" i="7" s="1"/>
  <c r="V32" i="7"/>
  <c r="W32" i="7" s="1"/>
  <c r="V36" i="7"/>
  <c r="W36" i="7" s="1"/>
  <c r="V43" i="7"/>
  <c r="W43" i="7" s="1"/>
  <c r="V50" i="7"/>
  <c r="W50" i="7" s="1"/>
  <c r="V57" i="7"/>
  <c r="W57" i="7" s="1"/>
  <c r="V85" i="7"/>
  <c r="W85" i="7" s="1"/>
  <c r="V123" i="7"/>
  <c r="W123" i="7" s="1"/>
  <c r="V12" i="7"/>
  <c r="W12" i="7" s="1"/>
  <c r="V71" i="7"/>
  <c r="W71" i="7" s="1"/>
  <c r="V78" i="7"/>
  <c r="W78" i="7" s="1"/>
  <c r="V92" i="7"/>
  <c r="W92" i="7" s="1"/>
  <c r="V127" i="7"/>
  <c r="W127" i="7" s="1"/>
  <c r="V179" i="7"/>
  <c r="W179" i="7" s="1"/>
  <c r="V193" i="7"/>
  <c r="W193" i="7" s="1"/>
  <c r="V235" i="7"/>
  <c r="W235" i="7" s="1"/>
  <c r="V249" i="7"/>
  <c r="W249" i="7" s="1"/>
  <c r="V186" i="7"/>
  <c r="W186" i="7" s="1"/>
  <c r="V242" i="7"/>
  <c r="W242" i="7" s="1"/>
  <c r="V130" i="7"/>
  <c r="W130" i="7" s="1"/>
  <c r="V165" i="7"/>
  <c r="W165" i="7" s="1"/>
  <c r="V166" i="7"/>
  <c r="W166" i="7" s="1"/>
  <c r="V207" i="7"/>
  <c r="W207" i="7" s="1"/>
  <c r="V221" i="7"/>
  <c r="W221" i="7" s="1"/>
  <c r="V103" i="7"/>
  <c r="W103" i="7" s="1"/>
  <c r="V61" i="7"/>
  <c r="W61" i="7" s="1"/>
  <c r="V110" i="7"/>
  <c r="W110" i="7" s="1"/>
  <c r="V89" i="7"/>
  <c r="W89" i="7" s="1"/>
  <c r="V8" i="7"/>
  <c r="W8" i="7" s="1"/>
  <c r="V67" i="7"/>
  <c r="W67" i="7" s="1"/>
  <c r="V88" i="7"/>
  <c r="W88" i="7" s="1"/>
  <c r="V95" i="7"/>
  <c r="W95" i="7" s="1"/>
  <c r="V120" i="7"/>
  <c r="W120" i="7" s="1"/>
  <c r="V197" i="7"/>
  <c r="W197" i="7" s="1"/>
  <c r="V228" i="7"/>
  <c r="W228" i="7" s="1"/>
  <c r="V253" i="7"/>
  <c r="W253" i="7" s="1"/>
  <c r="V256" i="7"/>
  <c r="W256" i="7" s="1"/>
  <c r="V81" i="7"/>
  <c r="W81" i="7" s="1"/>
  <c r="V109" i="7"/>
  <c r="W109" i="7" s="1"/>
  <c r="V173" i="7"/>
  <c r="W173" i="7" s="1"/>
  <c r="V169" i="7"/>
  <c r="W169" i="7" s="1"/>
  <c r="V172" i="7"/>
  <c r="W172" i="7" s="1"/>
  <c r="V200" i="7"/>
  <c r="W200" i="7" s="1"/>
  <c r="V229" i="7"/>
  <c r="W229" i="7" s="1"/>
  <c r="V225" i="7"/>
  <c r="W225" i="7" s="1"/>
  <c r="V19" i="7"/>
  <c r="W19" i="7" s="1"/>
  <c r="V68" i="7"/>
  <c r="W68" i="7" s="1"/>
  <c r="V138" i="7"/>
  <c r="W138" i="7" s="1"/>
  <c r="V141" i="7"/>
  <c r="W141" i="7" s="1"/>
  <c r="V148" i="7"/>
  <c r="W148" i="7" s="1"/>
  <c r="V155" i="7"/>
  <c r="W155" i="7" s="1"/>
  <c r="V187" i="7"/>
  <c r="W187" i="7" s="1"/>
  <c r="V183" i="7"/>
  <c r="W183" i="7" s="1"/>
  <c r="V215" i="7"/>
  <c r="W215" i="7" s="1"/>
  <c r="V211" i="7"/>
  <c r="W211" i="7" s="1"/>
  <c r="V239" i="7"/>
  <c r="W239" i="7" s="1"/>
  <c r="V102" i="7"/>
  <c r="W102" i="7" s="1"/>
  <c r="V201" i="7"/>
  <c r="W201" i="7" s="1"/>
  <c r="V257" i="7"/>
  <c r="W257" i="7" s="1"/>
  <c r="V22" i="7"/>
  <c r="W22" i="7" s="1"/>
  <c r="V26" i="7"/>
  <c r="W26" i="7" s="1"/>
  <c r="V113" i="7"/>
  <c r="W113" i="7" s="1"/>
  <c r="V116" i="7"/>
  <c r="W116" i="7" s="1"/>
  <c r="V162" i="7"/>
  <c r="W162" i="7" s="1"/>
  <c r="V176" i="7"/>
  <c r="W176" i="7" s="1"/>
  <c r="V190" i="7"/>
  <c r="W190" i="7" s="1"/>
  <c r="V204" i="7"/>
  <c r="W204" i="7" s="1"/>
  <c r="V218" i="7"/>
  <c r="W218" i="7" s="1"/>
  <c r="V232" i="7"/>
  <c r="W232" i="7" s="1"/>
  <c r="V246" i="7"/>
  <c r="W246" i="7" s="1"/>
  <c r="V260" i="7"/>
  <c r="W260" i="7" s="1"/>
  <c r="V263" i="7"/>
  <c r="W263" i="7" s="1"/>
  <c r="V131" i="7" l="1"/>
  <c r="W131" i="7" s="1"/>
  <c r="V208" i="7"/>
  <c r="W208" i="7" s="1"/>
  <c r="V222" i="7"/>
  <c r="W222" i="7" s="1"/>
  <c r="V124" i="7"/>
  <c r="W124" i="7" s="1"/>
  <c r="V54" i="7"/>
  <c r="W54" i="7" s="1"/>
  <c r="V47" i="7"/>
  <c r="W47" i="7" s="1"/>
  <c r="V40" i="7"/>
  <c r="W40" i="7" s="1"/>
  <c r="V33" i="7"/>
  <c r="W33" i="7" s="1"/>
  <c r="V250" i="7"/>
  <c r="W250" i="7" s="1"/>
  <c r="V82" i="7"/>
  <c r="W82" i="7" s="1"/>
  <c r="V236" i="7"/>
  <c r="W236" i="7" s="1"/>
  <c r="V96" i="7"/>
  <c r="W96" i="7" s="1"/>
  <c r="V180" i="7"/>
  <c r="W180" i="7" s="1"/>
  <c r="V264" i="7"/>
  <c r="W264" i="7" s="1"/>
  <c r="V194" i="7"/>
  <c r="W194" i="7" s="1"/>
  <c r="V243" i="7"/>
  <c r="W243" i="7" s="1"/>
  <c r="V159" i="7"/>
  <c r="W159" i="7" s="1"/>
  <c r="V145" i="7"/>
  <c r="W145" i="7" s="1"/>
  <c r="V117" i="7"/>
  <c r="W117" i="7" s="1"/>
  <c r="V75" i="7"/>
  <c r="W75" i="7" s="1"/>
</calcChain>
</file>

<file path=xl/sharedStrings.xml><?xml version="1.0" encoding="utf-8"?>
<sst xmlns="http://schemas.openxmlformats.org/spreadsheetml/2006/main" count="639" uniqueCount="82">
  <si>
    <t>N°</t>
  </si>
  <si>
    <t>DSEE</t>
  </si>
  <si>
    <t>Ecole d'origine</t>
  </si>
  <si>
    <t>Niveau</t>
  </si>
  <si>
    <t>Prénoms et Nom</t>
  </si>
  <si>
    <t>Notes</t>
  </si>
  <si>
    <t>coef</t>
  </si>
  <si>
    <t>Histoire</t>
  </si>
  <si>
    <t>Maths</t>
  </si>
  <si>
    <t>Biologie</t>
  </si>
  <si>
    <t>Physique</t>
  </si>
  <si>
    <t>Anglais</t>
  </si>
  <si>
    <t>Arabe</t>
  </si>
  <si>
    <t>Chimie</t>
  </si>
  <si>
    <t>Economie</t>
  </si>
  <si>
    <t>Français</t>
  </si>
  <si>
    <t>Géogrphie</t>
  </si>
  <si>
    <t>Géologie</t>
  </si>
  <si>
    <t>Philosophie</t>
  </si>
  <si>
    <t>Total</t>
  </si>
  <si>
    <t>Moyenne générale</t>
  </si>
  <si>
    <t>RANG</t>
  </si>
  <si>
    <t>cours</t>
  </si>
  <si>
    <t>comp</t>
  </si>
  <si>
    <t>Moy 1</t>
  </si>
  <si>
    <t>Moy 2</t>
  </si>
  <si>
    <t>Annuelle</t>
  </si>
  <si>
    <t>Sexe</t>
  </si>
  <si>
    <t>LYCEE MANEAH</t>
  </si>
  <si>
    <t xml:space="preserve">COMMUNE RURALE </t>
  </si>
  <si>
    <t>TSE</t>
  </si>
  <si>
    <t xml:space="preserve">CENTRALISATION DES NOTES </t>
  </si>
  <si>
    <t>M</t>
  </si>
  <si>
    <t>F</t>
  </si>
  <si>
    <t>IRE/KINDIA</t>
  </si>
  <si>
    <t>DPE/COYAH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</si>
  <si>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er</t>
    </r>
    <r>
      <rPr>
        <b/>
        <sz val="11"/>
        <color theme="1"/>
        <rFont val="Calibri"/>
        <family val="2"/>
        <scheme val="minor"/>
      </rPr>
      <t xml:space="preserve"> S.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</si>
  <si>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 xml:space="preserve">ème </t>
    </r>
    <r>
      <rPr>
        <b/>
        <sz val="11"/>
        <color theme="1"/>
        <rFont val="Calibri"/>
        <family val="2"/>
        <scheme val="minor"/>
      </rPr>
      <t xml:space="preserve"> S.</t>
    </r>
  </si>
  <si>
    <t>TSE  2025-2026</t>
  </si>
  <si>
    <t>MOHAMED CAMARA</t>
  </si>
  <si>
    <t>MOHAMED LAMINE BANGOURA</t>
  </si>
  <si>
    <t>MARIAMA CIRE CAMARA</t>
  </si>
  <si>
    <t>MARIAMA SOUMAH</t>
  </si>
  <si>
    <t>ABDOUL AZIZ BAH</t>
  </si>
  <si>
    <t>ABDOULAYE DJIBRIL DIALLO</t>
  </si>
  <si>
    <t>ABOUBACAR CONTE</t>
  </si>
  <si>
    <t>AISSATA YEBHE DIALLO</t>
  </si>
  <si>
    <t>ALBERT HABA</t>
  </si>
  <si>
    <t>AMINATA DIALLO</t>
  </si>
  <si>
    <t>ANTONY BALAMOU</t>
  </si>
  <si>
    <t>BOUBACAR DIALLO</t>
  </si>
  <si>
    <t>BOUNTOURABY  SYLLA</t>
  </si>
  <si>
    <t>DENISE GUILAVOGUI</t>
  </si>
  <si>
    <t>FATOUMATA DIARAYE BAH</t>
  </si>
  <si>
    <t>HAWA BHOYE BARRY</t>
  </si>
  <si>
    <t>IBRAHIMA SOW</t>
  </si>
  <si>
    <t>ISSA CAMARA</t>
  </si>
  <si>
    <t>JACQUELINE HOLIE</t>
  </si>
  <si>
    <t>KADIATOU BAMBA</t>
  </si>
  <si>
    <t>KADIATOU DIALLO</t>
  </si>
  <si>
    <t>MAFERIN BANGOURA</t>
  </si>
  <si>
    <t>MAMADOU MALAL KEITA</t>
  </si>
  <si>
    <t>MAMADOU SAIDOU BALDE</t>
  </si>
  <si>
    <t>MARIAME CAMARA</t>
  </si>
  <si>
    <t>MICHEL BILIVOGUI</t>
  </si>
  <si>
    <t>MOHAMED AISSATA SYLLA</t>
  </si>
  <si>
    <t>MORIBA DELAMOU</t>
  </si>
  <si>
    <t>NOUMORY KONATE</t>
  </si>
  <si>
    <t xml:space="preserve">N'YEREKE LOUA </t>
  </si>
  <si>
    <t>PASCAL KPOGHOMOU</t>
  </si>
  <si>
    <t>RAMATA BELLA DIALLO</t>
  </si>
  <si>
    <t>SAA LENO</t>
  </si>
  <si>
    <t>SALIFOU CAMARA</t>
  </si>
  <si>
    <t>SEKOU CISSE</t>
  </si>
  <si>
    <t>SERY CAMARA</t>
  </si>
  <si>
    <t>SEYDOUBA SYLLA</t>
  </si>
  <si>
    <t>SIA FANTA SANDOUNO</t>
  </si>
  <si>
    <t>SOUA MICHELINE KPOULOMOU</t>
  </si>
  <si>
    <t>YARIE  BANGOURA</t>
  </si>
  <si>
    <t>YOUNOUSSA SEKOU SOUMAH</t>
  </si>
  <si>
    <t>CE FELIX GOUMOU</t>
  </si>
  <si>
    <t>Economie2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</si>
</sst>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9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8" xfId="0" applyFont="1" applyFill="1" applyBorder="1"/>
    <xf numFmtId="0" fontId="1" fillId="0" borderId="1" xfId="0" applyFont="1" applyFill="1" applyBorder="1"/>
    <xf numFmtId="0" fontId="4" fillId="0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/>
    <xf numFmtId="2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14" xfId="0" applyFont="1" applyFill="1" applyBorder="1"/>
    <xf numFmtId="0" fontId="4" fillId="0" borderId="5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0" fontId="4" fillId="0" borderId="18" xfId="0" applyFont="1" applyFill="1" applyBorder="1"/>
    <xf numFmtId="49" fontId="4" fillId="0" borderId="4" xfId="0" applyNumberFormat="1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textRotation="90"/>
    </xf>
    <xf numFmtId="0" fontId="1" fillId="0" borderId="4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textRotation="90"/>
    </xf>
    <xf numFmtId="0" fontId="1" fillId="0" borderId="4" xfId="0" applyFont="1" applyFill="1" applyBorder="1" applyAlignment="1">
      <alignment horizontal="center" vertical="center" textRotation="90"/>
    </xf>
    <xf numFmtId="0" fontId="1" fillId="0" borderId="5" xfId="0" applyFont="1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7" name="Tableau17" displayName="Tableau17" ref="I4:X313" totalsRowShown="0" dataDxfId="17" tableBorderDxfId="16">
  <autoFilter ref="I4:X313"/>
  <tableColumns count="16">
    <tableColumn id="1" name="Maths" dataDxfId="15"/>
    <tableColumn id="2" name="Physique" dataDxfId="14"/>
    <tableColumn id="3" name="Chimie" dataDxfId="13"/>
    <tableColumn id="4" name="Biologie" dataDxfId="12"/>
    <tableColumn id="5" name="Géologie" dataDxfId="11"/>
    <tableColumn id="6" name="Economie" dataDxfId="10"/>
    <tableColumn id="7" name="Français" dataDxfId="9"/>
    <tableColumn id="8" name="Histoire" dataDxfId="8"/>
    <tableColumn id="9" name="Géogrphie" dataDxfId="7"/>
    <tableColumn id="10" name="Economie2" dataDxfId="6"/>
    <tableColumn id="11" name="Philosophie" dataDxfId="5"/>
    <tableColumn id="12" name="Anglais" dataDxfId="4"/>
    <tableColumn id="13" name="Arabe" dataDxfId="3"/>
    <tableColumn id="14" name="Total" dataDxfId="2">
      <calculatedColumnFormula>(I5+J5+K5+L5+M5+N5+O5+P5+Q5+S5+T5)</calculatedColumnFormula>
    </tableColumn>
    <tableColumn id="15" name="Moyenne générale" dataDxfId="1">
      <calculatedColumnFormula>(V5)/8</calculatedColumnFormula>
    </tableColumn>
    <tableColumn id="16" name="RA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3"/>
  <sheetViews>
    <sheetView tabSelected="1" workbookViewId="0">
      <selection activeCell="N1" sqref="N1:V1"/>
    </sheetView>
  </sheetViews>
  <sheetFormatPr baseColWidth="10" defaultRowHeight="15" x14ac:dyDescent="0.25"/>
  <cols>
    <col min="1" max="1" width="3.140625" style="1" bestFit="1" customWidth="1"/>
    <col min="2" max="2" width="5.28515625" bestFit="1" customWidth="1"/>
    <col min="3" max="3" width="9.28515625" customWidth="1"/>
    <col min="4" max="4" width="6" style="2" customWidth="1"/>
    <col min="5" max="5" width="11.28515625" style="2" customWidth="1"/>
    <col min="6" max="6" width="4.85546875" style="2" customWidth="1"/>
    <col min="7" max="7" width="4.140625" style="2" bestFit="1" customWidth="1"/>
    <col min="8" max="8" width="6.28515625" style="2" bestFit="1" customWidth="1"/>
    <col min="9" max="21" width="5.28515625" style="2" customWidth="1"/>
    <col min="22" max="22" width="4.85546875" style="2" customWidth="1"/>
    <col min="23" max="23" width="7" style="2" customWidth="1"/>
    <col min="24" max="24" width="6.7109375" style="2" customWidth="1"/>
    <col min="25" max="25" width="6.28515625" customWidth="1"/>
    <col min="26" max="26" width="22.85546875" customWidth="1"/>
  </cols>
  <sheetData>
    <row r="1" spans="1:24" ht="15.75" x14ac:dyDescent="0.25">
      <c r="A1" s="57" t="s">
        <v>34</v>
      </c>
      <c r="B1" s="57"/>
      <c r="C1" s="57"/>
      <c r="N1" s="58" t="s">
        <v>31</v>
      </c>
      <c r="O1" s="58"/>
      <c r="P1" s="58"/>
      <c r="Q1" s="58"/>
      <c r="R1" s="58"/>
      <c r="S1" s="58"/>
      <c r="T1" s="58"/>
      <c r="U1" s="58"/>
      <c r="V1" s="58"/>
    </row>
    <row r="2" spans="1:24" ht="15.75" x14ac:dyDescent="0.25">
      <c r="A2" s="57" t="s">
        <v>35</v>
      </c>
      <c r="B2" s="57"/>
      <c r="C2" s="57"/>
      <c r="O2" s="58" t="s">
        <v>38</v>
      </c>
      <c r="P2" s="58"/>
      <c r="Q2" s="58"/>
      <c r="R2" s="58"/>
      <c r="S2" s="58"/>
      <c r="T2" s="58"/>
      <c r="U2" s="58"/>
      <c r="V2" s="58"/>
      <c r="W2" s="58"/>
    </row>
    <row r="3" spans="1:24" ht="15.75" x14ac:dyDescent="0.25">
      <c r="A3" s="57" t="s">
        <v>28</v>
      </c>
      <c r="B3" s="57"/>
      <c r="C3" s="57"/>
    </row>
    <row r="4" spans="1:24" ht="21" customHeight="1" x14ac:dyDescent="0.25">
      <c r="A4" s="53" t="s">
        <v>0</v>
      </c>
      <c r="B4" s="53" t="s">
        <v>1</v>
      </c>
      <c r="C4" s="53" t="s">
        <v>2</v>
      </c>
      <c r="D4" s="54" t="s">
        <v>3</v>
      </c>
      <c r="E4" s="54" t="s">
        <v>4</v>
      </c>
      <c r="F4" s="54" t="s">
        <v>27</v>
      </c>
      <c r="G4" s="55"/>
      <c r="H4" s="4" t="s">
        <v>5</v>
      </c>
      <c r="I4" s="22" t="s">
        <v>8</v>
      </c>
      <c r="J4" s="12" t="s">
        <v>10</v>
      </c>
      <c r="K4" s="12" t="s">
        <v>13</v>
      </c>
      <c r="L4" s="12" t="s">
        <v>9</v>
      </c>
      <c r="M4" s="12" t="s">
        <v>17</v>
      </c>
      <c r="N4" s="12" t="s">
        <v>14</v>
      </c>
      <c r="O4" s="12" t="s">
        <v>15</v>
      </c>
      <c r="P4" s="12" t="s">
        <v>7</v>
      </c>
      <c r="Q4" s="12" t="s">
        <v>16</v>
      </c>
      <c r="R4" s="12" t="s">
        <v>81</v>
      </c>
      <c r="S4" s="12" t="s">
        <v>18</v>
      </c>
      <c r="T4" s="12" t="s">
        <v>11</v>
      </c>
      <c r="U4" s="12" t="s">
        <v>12</v>
      </c>
      <c r="V4" s="23" t="s">
        <v>19</v>
      </c>
      <c r="W4" s="5" t="s">
        <v>20</v>
      </c>
      <c r="X4" s="24" t="s">
        <v>21</v>
      </c>
    </row>
    <row r="5" spans="1:24" ht="26.25" customHeight="1" thickBot="1" x14ac:dyDescent="0.3">
      <c r="A5" s="36"/>
      <c r="B5" s="36"/>
      <c r="C5" s="36"/>
      <c r="D5" s="45"/>
      <c r="E5" s="45"/>
      <c r="F5" s="45"/>
      <c r="G5" s="56"/>
      <c r="H5" s="4" t="s">
        <v>6</v>
      </c>
      <c r="I5" s="25">
        <v>2</v>
      </c>
      <c r="J5" s="16">
        <v>3</v>
      </c>
      <c r="K5" s="16">
        <v>3</v>
      </c>
      <c r="L5" s="16">
        <v>3</v>
      </c>
      <c r="M5" s="16">
        <v>1</v>
      </c>
      <c r="N5" s="16">
        <v>1</v>
      </c>
      <c r="O5" s="16">
        <v>2</v>
      </c>
      <c r="P5" s="16">
        <v>1</v>
      </c>
      <c r="Q5" s="16">
        <v>1</v>
      </c>
      <c r="R5" s="16"/>
      <c r="S5" s="16">
        <v>2</v>
      </c>
      <c r="T5" s="16">
        <v>2</v>
      </c>
      <c r="U5" s="10"/>
      <c r="V5" s="15"/>
      <c r="W5" s="18"/>
      <c r="X5" s="14"/>
    </row>
    <row r="6" spans="1:24" ht="18.75" customHeight="1" x14ac:dyDescent="0.25">
      <c r="A6" s="28">
        <v>1</v>
      </c>
      <c r="B6" s="31" t="s">
        <v>29</v>
      </c>
      <c r="C6" s="34" t="s">
        <v>28</v>
      </c>
      <c r="D6" s="37" t="s">
        <v>30</v>
      </c>
      <c r="E6" s="40" t="s">
        <v>43</v>
      </c>
      <c r="F6" s="43" t="s">
        <v>32</v>
      </c>
      <c r="G6" s="46" t="s">
        <v>36</v>
      </c>
      <c r="H6" s="3" t="s">
        <v>22</v>
      </c>
      <c r="I6" s="19">
        <v>10</v>
      </c>
      <c r="J6" s="6">
        <v>11</v>
      </c>
      <c r="K6" s="6">
        <v>13.33</v>
      </c>
      <c r="L6" s="6">
        <v>15.67</v>
      </c>
      <c r="M6" s="6">
        <v>16</v>
      </c>
      <c r="N6" s="6"/>
      <c r="O6" s="6">
        <v>12.33</v>
      </c>
      <c r="P6" s="6"/>
      <c r="Q6" s="6"/>
      <c r="R6" s="6"/>
      <c r="S6" s="6">
        <v>13.33</v>
      </c>
      <c r="T6" s="6">
        <v>13</v>
      </c>
      <c r="U6" s="6"/>
      <c r="V6" s="17">
        <f>(I6+J6+K6+L6+M6+N6+O6+P6+Q6+S6+T6)</f>
        <v>104.66</v>
      </c>
      <c r="W6" s="17">
        <f>(V6)/8</f>
        <v>13.0825</v>
      </c>
      <c r="X6" s="8"/>
    </row>
    <row r="7" spans="1:24" ht="18.75" customHeight="1" x14ac:dyDescent="0.25">
      <c r="A7" s="29"/>
      <c r="B7" s="32"/>
      <c r="C7" s="35"/>
      <c r="D7" s="38"/>
      <c r="E7" s="41"/>
      <c r="F7" s="44"/>
      <c r="G7" s="47"/>
      <c r="H7" s="4" t="s">
        <v>23</v>
      </c>
      <c r="I7" s="19">
        <v>6</v>
      </c>
      <c r="J7" s="6">
        <v>11.5</v>
      </c>
      <c r="K7" s="6">
        <v>16</v>
      </c>
      <c r="L7" s="6">
        <v>18.75</v>
      </c>
      <c r="M7" s="6">
        <v>15</v>
      </c>
      <c r="N7" s="6"/>
      <c r="O7" s="6">
        <v>11.5</v>
      </c>
      <c r="P7" s="6"/>
      <c r="Q7" s="6"/>
      <c r="R7" s="6"/>
      <c r="S7" s="6">
        <v>10</v>
      </c>
      <c r="T7" s="6">
        <v>13</v>
      </c>
      <c r="U7" s="6"/>
      <c r="V7" s="17">
        <f t="shared" ref="V7:V70" si="0">(I7+J7+K7+L7+M7+N7+O7+P7+Q7+S7+T7)</f>
        <v>101.75</v>
      </c>
      <c r="W7" s="17">
        <f t="shared" ref="W7:W70" si="1">(V7)/8</f>
        <v>12.71875</v>
      </c>
      <c r="X7" s="8"/>
    </row>
    <row r="8" spans="1:24" ht="18.75" customHeight="1" x14ac:dyDescent="0.25">
      <c r="A8" s="29"/>
      <c r="B8" s="32"/>
      <c r="C8" s="35"/>
      <c r="D8" s="38"/>
      <c r="E8" s="41"/>
      <c r="F8" s="44"/>
      <c r="G8" s="48"/>
      <c r="H8" s="4" t="s">
        <v>24</v>
      </c>
      <c r="I8" s="20">
        <f>(I6+I7)/2</f>
        <v>8</v>
      </c>
      <c r="J8" s="7">
        <f t="shared" ref="J8:T8" si="2">(J6+J7)/2</f>
        <v>11.25</v>
      </c>
      <c r="K8" s="7">
        <f t="shared" si="2"/>
        <v>14.664999999999999</v>
      </c>
      <c r="L8" s="7">
        <f t="shared" si="2"/>
        <v>17.21</v>
      </c>
      <c r="M8" s="7">
        <f t="shared" si="2"/>
        <v>15.5</v>
      </c>
      <c r="N8" s="7">
        <f t="shared" si="2"/>
        <v>0</v>
      </c>
      <c r="O8" s="7">
        <f t="shared" si="2"/>
        <v>11.914999999999999</v>
      </c>
      <c r="P8" s="7">
        <f t="shared" si="2"/>
        <v>0</v>
      </c>
      <c r="Q8" s="7">
        <f t="shared" si="2"/>
        <v>0</v>
      </c>
      <c r="R8" s="7">
        <f t="shared" si="2"/>
        <v>0</v>
      </c>
      <c r="S8" s="7">
        <f t="shared" si="2"/>
        <v>11.664999999999999</v>
      </c>
      <c r="T8" s="7">
        <f t="shared" si="2"/>
        <v>13</v>
      </c>
      <c r="U8" s="7"/>
      <c r="V8" s="17">
        <f t="shared" si="0"/>
        <v>103.20499999999998</v>
      </c>
      <c r="W8" s="17">
        <f t="shared" si="1"/>
        <v>12.900624999999998</v>
      </c>
      <c r="X8" s="8"/>
    </row>
    <row r="9" spans="1:24" ht="18.75" customHeight="1" x14ac:dyDescent="0.25">
      <c r="A9" s="29"/>
      <c r="B9" s="32"/>
      <c r="C9" s="35"/>
      <c r="D9" s="38"/>
      <c r="E9" s="41"/>
      <c r="F9" s="44"/>
      <c r="G9" s="49" t="s">
        <v>37</v>
      </c>
      <c r="H9" s="4" t="s">
        <v>22</v>
      </c>
      <c r="I9" s="1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7">
        <f t="shared" si="0"/>
        <v>0</v>
      </c>
      <c r="W9" s="17">
        <f t="shared" si="1"/>
        <v>0</v>
      </c>
      <c r="X9" s="8"/>
    </row>
    <row r="10" spans="1:24" ht="18.75" customHeight="1" x14ac:dyDescent="0.25">
      <c r="A10" s="29"/>
      <c r="B10" s="32"/>
      <c r="C10" s="35"/>
      <c r="D10" s="38"/>
      <c r="E10" s="41"/>
      <c r="F10" s="44"/>
      <c r="G10" s="47"/>
      <c r="H10" s="4" t="s">
        <v>23</v>
      </c>
      <c r="I10" s="19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7">
        <f t="shared" si="0"/>
        <v>0</v>
      </c>
      <c r="W10" s="17">
        <f t="shared" si="1"/>
        <v>0</v>
      </c>
      <c r="X10" s="8"/>
    </row>
    <row r="11" spans="1:24" ht="18.75" customHeight="1" x14ac:dyDescent="0.25">
      <c r="A11" s="29"/>
      <c r="B11" s="32"/>
      <c r="C11" s="35"/>
      <c r="D11" s="38"/>
      <c r="E11" s="41"/>
      <c r="F11" s="44"/>
      <c r="G11" s="48"/>
      <c r="H11" s="4" t="s">
        <v>25</v>
      </c>
      <c r="I11" s="20">
        <f t="shared" ref="I11:T11" si="3">(I9+I10)/2</f>
        <v>0</v>
      </c>
      <c r="J11" s="7">
        <f t="shared" si="3"/>
        <v>0</v>
      </c>
      <c r="K11" s="7">
        <f t="shared" si="3"/>
        <v>0</v>
      </c>
      <c r="L11" s="7">
        <f t="shared" si="3"/>
        <v>0</v>
      </c>
      <c r="M11" s="7">
        <f t="shared" si="3"/>
        <v>0</v>
      </c>
      <c r="N11" s="7">
        <f t="shared" si="3"/>
        <v>0</v>
      </c>
      <c r="O11" s="7">
        <f t="shared" si="3"/>
        <v>0</v>
      </c>
      <c r="P11" s="7">
        <f t="shared" si="3"/>
        <v>0</v>
      </c>
      <c r="Q11" s="7">
        <f t="shared" si="3"/>
        <v>0</v>
      </c>
      <c r="R11" s="7">
        <f t="shared" si="3"/>
        <v>0</v>
      </c>
      <c r="S11" s="7">
        <f t="shared" si="3"/>
        <v>0</v>
      </c>
      <c r="T11" s="7">
        <f t="shared" si="3"/>
        <v>0</v>
      </c>
      <c r="U11" s="7"/>
      <c r="V11" s="17">
        <f t="shared" si="0"/>
        <v>0</v>
      </c>
      <c r="W11" s="17">
        <f t="shared" si="1"/>
        <v>0</v>
      </c>
      <c r="X11" s="8"/>
    </row>
    <row r="12" spans="1:24" ht="18.75" customHeight="1" thickBot="1" x14ac:dyDescent="0.3">
      <c r="A12" s="30"/>
      <c r="B12" s="33"/>
      <c r="C12" s="36"/>
      <c r="D12" s="39"/>
      <c r="E12" s="52"/>
      <c r="F12" s="45"/>
      <c r="G12" s="50" t="s">
        <v>26</v>
      </c>
      <c r="H12" s="51"/>
      <c r="I12" s="20">
        <f>(I8+I11)/2</f>
        <v>4</v>
      </c>
      <c r="J12" s="7">
        <f t="shared" ref="J12:T12" si="4">(J8+J11)/2</f>
        <v>5.625</v>
      </c>
      <c r="K12" s="7">
        <f t="shared" si="4"/>
        <v>7.3324999999999996</v>
      </c>
      <c r="L12" s="7">
        <f t="shared" si="4"/>
        <v>8.6050000000000004</v>
      </c>
      <c r="M12" s="7">
        <f t="shared" si="4"/>
        <v>7.75</v>
      </c>
      <c r="N12" s="7">
        <f t="shared" si="4"/>
        <v>0</v>
      </c>
      <c r="O12" s="7">
        <f t="shared" si="4"/>
        <v>5.9574999999999996</v>
      </c>
      <c r="P12" s="7">
        <f t="shared" si="4"/>
        <v>0</v>
      </c>
      <c r="Q12" s="7">
        <f t="shared" si="4"/>
        <v>0</v>
      </c>
      <c r="R12" s="7">
        <f t="shared" si="4"/>
        <v>0</v>
      </c>
      <c r="S12" s="7">
        <f t="shared" si="4"/>
        <v>5.8324999999999996</v>
      </c>
      <c r="T12" s="7">
        <f t="shared" si="4"/>
        <v>6.5</v>
      </c>
      <c r="U12" s="7"/>
      <c r="V12" s="17">
        <f t="shared" si="0"/>
        <v>51.602499999999992</v>
      </c>
      <c r="W12" s="17">
        <f t="shared" si="1"/>
        <v>6.450312499999999</v>
      </c>
      <c r="X12" s="8"/>
    </row>
    <row r="13" spans="1:24" ht="18.75" customHeight="1" x14ac:dyDescent="0.25">
      <c r="A13" s="28">
        <v>2</v>
      </c>
      <c r="B13" s="31" t="s">
        <v>29</v>
      </c>
      <c r="C13" s="34" t="s">
        <v>28</v>
      </c>
      <c r="D13" s="37" t="s">
        <v>30</v>
      </c>
      <c r="E13" s="40" t="s">
        <v>44</v>
      </c>
      <c r="F13" s="43" t="s">
        <v>32</v>
      </c>
      <c r="G13" s="46" t="s">
        <v>36</v>
      </c>
      <c r="H13" s="3" t="s">
        <v>22</v>
      </c>
      <c r="I13" s="19">
        <v>13</v>
      </c>
      <c r="J13" s="6">
        <v>10</v>
      </c>
      <c r="K13" s="6">
        <v>12.5</v>
      </c>
      <c r="L13" s="6">
        <v>16.75</v>
      </c>
      <c r="M13" s="6">
        <v>11.33</v>
      </c>
      <c r="N13" s="6"/>
      <c r="O13" s="6">
        <v>12.83</v>
      </c>
      <c r="P13" s="6"/>
      <c r="Q13" s="6"/>
      <c r="R13" s="6"/>
      <c r="S13" s="6">
        <v>12.66</v>
      </c>
      <c r="T13" s="6">
        <v>14.5</v>
      </c>
      <c r="U13" s="6"/>
      <c r="V13" s="17">
        <f t="shared" si="0"/>
        <v>103.57</v>
      </c>
      <c r="W13" s="17">
        <f t="shared" si="1"/>
        <v>12.946249999999999</v>
      </c>
      <c r="X13" s="8"/>
    </row>
    <row r="14" spans="1:24" ht="18.75" customHeight="1" x14ac:dyDescent="0.25">
      <c r="A14" s="29"/>
      <c r="B14" s="32"/>
      <c r="C14" s="35"/>
      <c r="D14" s="38"/>
      <c r="E14" s="41"/>
      <c r="F14" s="44"/>
      <c r="G14" s="47"/>
      <c r="H14" s="4" t="s">
        <v>23</v>
      </c>
      <c r="I14" s="19">
        <v>9.5</v>
      </c>
      <c r="J14" s="6">
        <v>10.5</v>
      </c>
      <c r="K14" s="6">
        <v>14</v>
      </c>
      <c r="L14" s="6">
        <v>16.38</v>
      </c>
      <c r="M14" s="6">
        <v>16.5</v>
      </c>
      <c r="N14" s="6"/>
      <c r="O14" s="6">
        <v>11</v>
      </c>
      <c r="P14" s="6"/>
      <c r="Q14" s="6"/>
      <c r="R14" s="6"/>
      <c r="S14" s="6">
        <v>13</v>
      </c>
      <c r="T14" s="6">
        <v>14</v>
      </c>
      <c r="U14" s="6"/>
      <c r="V14" s="17">
        <f t="shared" si="0"/>
        <v>104.88</v>
      </c>
      <c r="W14" s="17">
        <f t="shared" si="1"/>
        <v>13.11</v>
      </c>
      <c r="X14" s="8"/>
    </row>
    <row r="15" spans="1:24" ht="18.75" customHeight="1" x14ac:dyDescent="0.25">
      <c r="A15" s="29"/>
      <c r="B15" s="32"/>
      <c r="C15" s="35"/>
      <c r="D15" s="38"/>
      <c r="E15" s="41"/>
      <c r="F15" s="44"/>
      <c r="G15" s="48"/>
      <c r="H15" s="4" t="s">
        <v>24</v>
      </c>
      <c r="I15" s="20">
        <f t="shared" ref="I15:T15" si="5">(I13+I14)/2</f>
        <v>11.25</v>
      </c>
      <c r="J15" s="7">
        <f t="shared" si="5"/>
        <v>10.25</v>
      </c>
      <c r="K15" s="7">
        <f t="shared" si="5"/>
        <v>13.25</v>
      </c>
      <c r="L15" s="7">
        <f t="shared" si="5"/>
        <v>16.564999999999998</v>
      </c>
      <c r="M15" s="7">
        <f t="shared" si="5"/>
        <v>13.914999999999999</v>
      </c>
      <c r="N15" s="7">
        <f t="shared" si="5"/>
        <v>0</v>
      </c>
      <c r="O15" s="7">
        <f t="shared" si="5"/>
        <v>11.914999999999999</v>
      </c>
      <c r="P15" s="7">
        <f t="shared" si="5"/>
        <v>0</v>
      </c>
      <c r="Q15" s="7">
        <f t="shared" si="5"/>
        <v>0</v>
      </c>
      <c r="R15" s="7">
        <f t="shared" si="5"/>
        <v>0</v>
      </c>
      <c r="S15" s="7">
        <f t="shared" si="5"/>
        <v>12.83</v>
      </c>
      <c r="T15" s="7">
        <f t="shared" si="5"/>
        <v>14.25</v>
      </c>
      <c r="U15" s="6"/>
      <c r="V15" s="17">
        <f t="shared" si="0"/>
        <v>104.22499999999998</v>
      </c>
      <c r="W15" s="17">
        <f t="shared" si="1"/>
        <v>13.028124999999998</v>
      </c>
      <c r="X15" s="8"/>
    </row>
    <row r="16" spans="1:24" ht="18.75" customHeight="1" x14ac:dyDescent="0.25">
      <c r="A16" s="29"/>
      <c r="B16" s="32"/>
      <c r="C16" s="35"/>
      <c r="D16" s="38"/>
      <c r="E16" s="41"/>
      <c r="F16" s="44"/>
      <c r="G16" s="49" t="s">
        <v>37</v>
      </c>
      <c r="H16" s="4" t="s">
        <v>22</v>
      </c>
      <c r="I16" s="1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7">
        <f t="shared" si="0"/>
        <v>0</v>
      </c>
      <c r="W16" s="17">
        <f t="shared" si="1"/>
        <v>0</v>
      </c>
      <c r="X16" s="8"/>
    </row>
    <row r="17" spans="1:24" ht="18.75" customHeight="1" x14ac:dyDescent="0.25">
      <c r="A17" s="29"/>
      <c r="B17" s="32"/>
      <c r="C17" s="35"/>
      <c r="D17" s="38"/>
      <c r="E17" s="41"/>
      <c r="F17" s="44"/>
      <c r="G17" s="47"/>
      <c r="H17" s="4" t="s">
        <v>23</v>
      </c>
      <c r="I17" s="19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7">
        <f t="shared" si="0"/>
        <v>0</v>
      </c>
      <c r="W17" s="17">
        <f t="shared" si="1"/>
        <v>0</v>
      </c>
      <c r="X17" s="8"/>
    </row>
    <row r="18" spans="1:24" ht="18.75" customHeight="1" x14ac:dyDescent="0.25">
      <c r="A18" s="29"/>
      <c r="B18" s="32"/>
      <c r="C18" s="35"/>
      <c r="D18" s="38"/>
      <c r="E18" s="41"/>
      <c r="F18" s="44"/>
      <c r="G18" s="48"/>
      <c r="H18" s="4" t="s">
        <v>25</v>
      </c>
      <c r="I18" s="20">
        <f t="shared" ref="I18:T18" si="6">(I16+I17)/2</f>
        <v>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 t="shared" si="6"/>
        <v>0</v>
      </c>
      <c r="O18" s="7">
        <f t="shared" si="6"/>
        <v>0</v>
      </c>
      <c r="P18" s="7">
        <f t="shared" si="6"/>
        <v>0</v>
      </c>
      <c r="Q18" s="7">
        <f t="shared" si="6"/>
        <v>0</v>
      </c>
      <c r="R18" s="7">
        <f t="shared" si="6"/>
        <v>0</v>
      </c>
      <c r="S18" s="7">
        <f t="shared" si="6"/>
        <v>0</v>
      </c>
      <c r="T18" s="7">
        <f t="shared" si="6"/>
        <v>0</v>
      </c>
      <c r="U18" s="6"/>
      <c r="V18" s="17">
        <f t="shared" si="0"/>
        <v>0</v>
      </c>
      <c r="W18" s="17">
        <f t="shared" si="1"/>
        <v>0</v>
      </c>
      <c r="X18" s="8"/>
    </row>
    <row r="19" spans="1:24" ht="18.75" customHeight="1" thickBot="1" x14ac:dyDescent="0.3">
      <c r="A19" s="30"/>
      <c r="B19" s="33"/>
      <c r="C19" s="36"/>
      <c r="D19" s="39"/>
      <c r="E19" s="52"/>
      <c r="F19" s="45"/>
      <c r="G19" s="50" t="s">
        <v>26</v>
      </c>
      <c r="H19" s="51"/>
      <c r="I19" s="20">
        <f t="shared" ref="I19:T19" si="7">(I15+I18)/2</f>
        <v>5.625</v>
      </c>
      <c r="J19" s="7">
        <f t="shared" si="7"/>
        <v>5.125</v>
      </c>
      <c r="K19" s="7">
        <f t="shared" si="7"/>
        <v>6.625</v>
      </c>
      <c r="L19" s="7">
        <f t="shared" si="7"/>
        <v>8.2824999999999989</v>
      </c>
      <c r="M19" s="7">
        <f t="shared" si="7"/>
        <v>6.9574999999999996</v>
      </c>
      <c r="N19" s="7">
        <f t="shared" si="7"/>
        <v>0</v>
      </c>
      <c r="O19" s="7">
        <f t="shared" si="7"/>
        <v>5.9574999999999996</v>
      </c>
      <c r="P19" s="7">
        <f t="shared" si="7"/>
        <v>0</v>
      </c>
      <c r="Q19" s="7">
        <f t="shared" si="7"/>
        <v>0</v>
      </c>
      <c r="R19" s="7">
        <f t="shared" si="7"/>
        <v>0</v>
      </c>
      <c r="S19" s="7">
        <f t="shared" si="7"/>
        <v>6.415</v>
      </c>
      <c r="T19" s="7">
        <f t="shared" si="7"/>
        <v>7.125</v>
      </c>
      <c r="U19" s="6"/>
      <c r="V19" s="17">
        <f t="shared" si="0"/>
        <v>52.11249999999999</v>
      </c>
      <c r="W19" s="17">
        <f t="shared" si="1"/>
        <v>6.5140624999999988</v>
      </c>
      <c r="X19" s="8"/>
    </row>
    <row r="20" spans="1:24" ht="18.75" customHeight="1" x14ac:dyDescent="0.25">
      <c r="A20" s="28">
        <v>3</v>
      </c>
      <c r="B20" s="31" t="s">
        <v>29</v>
      </c>
      <c r="C20" s="34" t="s">
        <v>28</v>
      </c>
      <c r="D20" s="37" t="s">
        <v>30</v>
      </c>
      <c r="E20" s="40" t="s">
        <v>45</v>
      </c>
      <c r="F20" s="43" t="s">
        <v>32</v>
      </c>
      <c r="G20" s="46" t="s">
        <v>36</v>
      </c>
      <c r="H20" s="3" t="s">
        <v>22</v>
      </c>
      <c r="I20" s="19">
        <v>12</v>
      </c>
      <c r="J20" s="27">
        <v>11</v>
      </c>
      <c r="K20" s="6">
        <v>8.5</v>
      </c>
      <c r="L20" s="6">
        <v>14.33</v>
      </c>
      <c r="M20" s="6">
        <v>10.83</v>
      </c>
      <c r="N20" s="6"/>
      <c r="O20" s="6">
        <v>10.66</v>
      </c>
      <c r="P20" s="6"/>
      <c r="Q20" s="6"/>
      <c r="R20" s="6"/>
      <c r="S20" s="6">
        <v>11.33</v>
      </c>
      <c r="T20" s="6">
        <v>14</v>
      </c>
      <c r="U20" s="6"/>
      <c r="V20" s="17">
        <f>(I20+J21+K20+L20+M20+N20+O20+P20+Q20+S20+T20)</f>
        <v>93.149999999999991</v>
      </c>
      <c r="W20" s="17">
        <f t="shared" si="1"/>
        <v>11.643749999999999</v>
      </c>
      <c r="X20" s="8"/>
    </row>
    <row r="21" spans="1:24" ht="18.75" customHeight="1" x14ac:dyDescent="0.25">
      <c r="A21" s="29"/>
      <c r="B21" s="32"/>
      <c r="C21" s="35"/>
      <c r="D21" s="38"/>
      <c r="E21" s="41"/>
      <c r="F21" s="44"/>
      <c r="G21" s="47"/>
      <c r="H21" s="4" t="s">
        <v>23</v>
      </c>
      <c r="I21" s="19">
        <v>8</v>
      </c>
      <c r="J21" s="6">
        <v>11.5</v>
      </c>
      <c r="K21" s="6">
        <v>10</v>
      </c>
      <c r="L21" s="6">
        <v>4.75</v>
      </c>
      <c r="M21" s="6">
        <v>10</v>
      </c>
      <c r="N21" s="6"/>
      <c r="O21" s="6">
        <v>3</v>
      </c>
      <c r="P21" s="6"/>
      <c r="Q21" s="6"/>
      <c r="R21" s="6"/>
      <c r="S21" s="6">
        <v>5</v>
      </c>
      <c r="T21" s="6">
        <v>6</v>
      </c>
      <c r="U21" s="6"/>
      <c r="V21" s="17" t="e">
        <f>(I21+#REF!+K21+L21+M21+N21+O21+P21+Q21+S21+T21)</f>
        <v>#REF!</v>
      </c>
      <c r="W21" s="17" t="e">
        <f t="shared" si="1"/>
        <v>#REF!</v>
      </c>
      <c r="X21" s="8"/>
    </row>
    <row r="22" spans="1:24" ht="18.75" customHeight="1" x14ac:dyDescent="0.25">
      <c r="A22" s="29"/>
      <c r="B22" s="32"/>
      <c r="C22" s="35"/>
      <c r="D22" s="38"/>
      <c r="E22" s="41"/>
      <c r="F22" s="44"/>
      <c r="G22" s="48"/>
      <c r="H22" s="4" t="s">
        <v>24</v>
      </c>
      <c r="I22" s="20">
        <f t="shared" ref="I22:T22" si="8">(I20+I21)/2</f>
        <v>10</v>
      </c>
      <c r="J22" s="7" t="e">
        <f>(J21+#REF!)/2</f>
        <v>#REF!</v>
      </c>
      <c r="K22" s="7">
        <f t="shared" si="8"/>
        <v>9.25</v>
      </c>
      <c r="L22" s="7">
        <f t="shared" si="8"/>
        <v>9.5399999999999991</v>
      </c>
      <c r="M22" s="7">
        <f t="shared" si="8"/>
        <v>10.414999999999999</v>
      </c>
      <c r="N22" s="7">
        <f t="shared" si="8"/>
        <v>0</v>
      </c>
      <c r="O22" s="7">
        <f t="shared" si="8"/>
        <v>6.83</v>
      </c>
      <c r="P22" s="7">
        <f t="shared" si="8"/>
        <v>0</v>
      </c>
      <c r="Q22" s="7">
        <f t="shared" si="8"/>
        <v>0</v>
      </c>
      <c r="R22" s="7">
        <f t="shared" si="8"/>
        <v>0</v>
      </c>
      <c r="S22" s="7">
        <f t="shared" si="8"/>
        <v>8.1649999999999991</v>
      </c>
      <c r="T22" s="7">
        <f t="shared" si="8"/>
        <v>10</v>
      </c>
      <c r="U22" s="6"/>
      <c r="V22" s="17" t="e">
        <f t="shared" si="0"/>
        <v>#REF!</v>
      </c>
      <c r="W22" s="17" t="e">
        <f t="shared" si="1"/>
        <v>#REF!</v>
      </c>
      <c r="X22" s="8"/>
    </row>
    <row r="23" spans="1:24" ht="18.75" customHeight="1" x14ac:dyDescent="0.25">
      <c r="A23" s="29"/>
      <c r="B23" s="32"/>
      <c r="C23" s="35"/>
      <c r="D23" s="38"/>
      <c r="E23" s="41"/>
      <c r="F23" s="44"/>
      <c r="G23" s="49" t="s">
        <v>37</v>
      </c>
      <c r="H23" s="4" t="s">
        <v>22</v>
      </c>
      <c r="I23" s="1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7">
        <f t="shared" si="0"/>
        <v>0</v>
      </c>
      <c r="W23" s="17">
        <f t="shared" si="1"/>
        <v>0</v>
      </c>
      <c r="X23" s="8"/>
    </row>
    <row r="24" spans="1:24" ht="18.75" customHeight="1" x14ac:dyDescent="0.25">
      <c r="A24" s="29"/>
      <c r="B24" s="32"/>
      <c r="C24" s="35"/>
      <c r="D24" s="38"/>
      <c r="E24" s="41"/>
      <c r="F24" s="44"/>
      <c r="G24" s="47"/>
      <c r="H24" s="4" t="s">
        <v>23</v>
      </c>
      <c r="I24" s="1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17">
        <f t="shared" si="0"/>
        <v>0</v>
      </c>
      <c r="W24" s="17">
        <f t="shared" si="1"/>
        <v>0</v>
      </c>
      <c r="X24" s="8"/>
    </row>
    <row r="25" spans="1:24" ht="18.75" customHeight="1" x14ac:dyDescent="0.25">
      <c r="A25" s="29"/>
      <c r="B25" s="32"/>
      <c r="C25" s="35"/>
      <c r="D25" s="38"/>
      <c r="E25" s="41"/>
      <c r="F25" s="44"/>
      <c r="G25" s="48"/>
      <c r="H25" s="4" t="s">
        <v>25</v>
      </c>
      <c r="I25" s="20">
        <f t="shared" ref="I25:T25" si="9">(I23+I24)/2</f>
        <v>0</v>
      </c>
      <c r="J25" s="7">
        <f t="shared" si="9"/>
        <v>0</v>
      </c>
      <c r="K25" s="7">
        <f t="shared" si="9"/>
        <v>0</v>
      </c>
      <c r="L25" s="7">
        <f t="shared" si="9"/>
        <v>0</v>
      </c>
      <c r="M25" s="7">
        <f t="shared" si="9"/>
        <v>0</v>
      </c>
      <c r="N25" s="7">
        <f t="shared" si="9"/>
        <v>0</v>
      </c>
      <c r="O25" s="7">
        <f t="shared" si="9"/>
        <v>0</v>
      </c>
      <c r="P25" s="7">
        <f t="shared" si="9"/>
        <v>0</v>
      </c>
      <c r="Q25" s="7">
        <f t="shared" si="9"/>
        <v>0</v>
      </c>
      <c r="R25" s="7">
        <f t="shared" si="9"/>
        <v>0</v>
      </c>
      <c r="S25" s="7">
        <f t="shared" si="9"/>
        <v>0</v>
      </c>
      <c r="T25" s="7">
        <f t="shared" si="9"/>
        <v>0</v>
      </c>
      <c r="U25" s="6"/>
      <c r="V25" s="17">
        <f t="shared" si="0"/>
        <v>0</v>
      </c>
      <c r="W25" s="17">
        <f t="shared" si="1"/>
        <v>0</v>
      </c>
      <c r="X25" s="8"/>
    </row>
    <row r="26" spans="1:24" ht="18.75" customHeight="1" thickBot="1" x14ac:dyDescent="0.3">
      <c r="A26" s="30"/>
      <c r="B26" s="33"/>
      <c r="C26" s="36"/>
      <c r="D26" s="39"/>
      <c r="E26" s="52"/>
      <c r="F26" s="45"/>
      <c r="G26" s="50" t="s">
        <v>26</v>
      </c>
      <c r="H26" s="51"/>
      <c r="I26" s="20">
        <f t="shared" ref="I26:T26" si="10">(I22+I25)/2</f>
        <v>5</v>
      </c>
      <c r="J26" s="7" t="e">
        <f t="shared" si="10"/>
        <v>#REF!</v>
      </c>
      <c r="K26" s="7">
        <f t="shared" si="10"/>
        <v>4.625</v>
      </c>
      <c r="L26" s="7">
        <f t="shared" si="10"/>
        <v>4.7699999999999996</v>
      </c>
      <c r="M26" s="7">
        <f t="shared" si="10"/>
        <v>5.2074999999999996</v>
      </c>
      <c r="N26" s="7">
        <f t="shared" si="10"/>
        <v>0</v>
      </c>
      <c r="O26" s="7">
        <f t="shared" si="10"/>
        <v>3.415</v>
      </c>
      <c r="P26" s="7">
        <f t="shared" si="10"/>
        <v>0</v>
      </c>
      <c r="Q26" s="7">
        <f t="shared" si="10"/>
        <v>0</v>
      </c>
      <c r="R26" s="7">
        <f t="shared" si="10"/>
        <v>0</v>
      </c>
      <c r="S26" s="7">
        <f t="shared" si="10"/>
        <v>4.0824999999999996</v>
      </c>
      <c r="T26" s="7">
        <f t="shared" si="10"/>
        <v>5</v>
      </c>
      <c r="U26" s="6"/>
      <c r="V26" s="17" t="e">
        <f t="shared" si="0"/>
        <v>#REF!</v>
      </c>
      <c r="W26" s="17" t="e">
        <f t="shared" si="1"/>
        <v>#REF!</v>
      </c>
      <c r="X26" s="8"/>
    </row>
    <row r="27" spans="1:24" ht="23.25" customHeight="1" x14ac:dyDescent="0.25">
      <c r="A27" s="28">
        <v>4</v>
      </c>
      <c r="B27" s="31" t="s">
        <v>29</v>
      </c>
      <c r="C27" s="34" t="s">
        <v>28</v>
      </c>
      <c r="D27" s="37" t="s">
        <v>30</v>
      </c>
      <c r="E27" s="40" t="s">
        <v>46</v>
      </c>
      <c r="F27" s="43" t="s">
        <v>33</v>
      </c>
      <c r="G27" s="46" t="s">
        <v>36</v>
      </c>
      <c r="H27" s="3" t="s">
        <v>22</v>
      </c>
      <c r="I27" s="19">
        <v>10.33</v>
      </c>
      <c r="J27" s="6">
        <v>11.66</v>
      </c>
      <c r="K27" s="6">
        <v>13.5</v>
      </c>
      <c r="L27" s="6">
        <v>16.329999999999998</v>
      </c>
      <c r="M27" s="6">
        <v>10.66</v>
      </c>
      <c r="N27" s="6"/>
      <c r="O27" s="6">
        <v>12.83</v>
      </c>
      <c r="P27" s="6"/>
      <c r="Q27" s="6"/>
      <c r="R27" s="6"/>
      <c r="S27" s="6">
        <v>12</v>
      </c>
      <c r="T27" s="6">
        <v>13</v>
      </c>
      <c r="U27" s="6"/>
      <c r="V27" s="17">
        <f t="shared" si="0"/>
        <v>100.31</v>
      </c>
      <c r="W27" s="17">
        <f t="shared" si="1"/>
        <v>12.53875</v>
      </c>
      <c r="X27" s="8"/>
    </row>
    <row r="28" spans="1:24" ht="23.25" customHeight="1" x14ac:dyDescent="0.25">
      <c r="A28" s="29"/>
      <c r="B28" s="32"/>
      <c r="C28" s="35"/>
      <c r="D28" s="38"/>
      <c r="E28" s="41"/>
      <c r="F28" s="44"/>
      <c r="G28" s="47"/>
      <c r="H28" s="4" t="s">
        <v>23</v>
      </c>
      <c r="I28" s="19">
        <v>3</v>
      </c>
      <c r="J28" s="6">
        <v>13</v>
      </c>
      <c r="K28" s="6">
        <v>6</v>
      </c>
      <c r="L28" s="6">
        <v>5.5</v>
      </c>
      <c r="M28" s="6">
        <v>15.5</v>
      </c>
      <c r="N28" s="6"/>
      <c r="O28" s="6">
        <v>5</v>
      </c>
      <c r="P28" s="6"/>
      <c r="Q28" s="6"/>
      <c r="R28" s="6"/>
      <c r="S28" s="6">
        <v>7</v>
      </c>
      <c r="T28" s="6">
        <v>14</v>
      </c>
      <c r="U28" s="6"/>
      <c r="V28" s="17">
        <f t="shared" si="0"/>
        <v>69</v>
      </c>
      <c r="W28" s="17">
        <f t="shared" si="1"/>
        <v>8.625</v>
      </c>
      <c r="X28" s="8"/>
    </row>
    <row r="29" spans="1:24" ht="23.25" customHeight="1" x14ac:dyDescent="0.25">
      <c r="A29" s="29"/>
      <c r="B29" s="32"/>
      <c r="C29" s="35"/>
      <c r="D29" s="38"/>
      <c r="E29" s="41"/>
      <c r="F29" s="44"/>
      <c r="G29" s="48"/>
      <c r="H29" s="4" t="s">
        <v>24</v>
      </c>
      <c r="I29" s="20">
        <f t="shared" ref="I29:T29" si="11">(I27+I28)/2</f>
        <v>6.665</v>
      </c>
      <c r="J29" s="7">
        <f t="shared" si="11"/>
        <v>12.33</v>
      </c>
      <c r="K29" s="7">
        <f t="shared" si="11"/>
        <v>9.75</v>
      </c>
      <c r="L29" s="7">
        <f t="shared" si="11"/>
        <v>10.914999999999999</v>
      </c>
      <c r="M29" s="7">
        <f t="shared" si="11"/>
        <v>13.08</v>
      </c>
      <c r="N29" s="7">
        <f t="shared" si="11"/>
        <v>0</v>
      </c>
      <c r="O29" s="7">
        <f t="shared" si="11"/>
        <v>8.9149999999999991</v>
      </c>
      <c r="P29" s="7">
        <f t="shared" si="11"/>
        <v>0</v>
      </c>
      <c r="Q29" s="7">
        <f t="shared" si="11"/>
        <v>0</v>
      </c>
      <c r="R29" s="7">
        <f t="shared" si="11"/>
        <v>0</v>
      </c>
      <c r="S29" s="7">
        <f t="shared" si="11"/>
        <v>9.5</v>
      </c>
      <c r="T29" s="7">
        <f t="shared" si="11"/>
        <v>13.5</v>
      </c>
      <c r="U29" s="6"/>
      <c r="V29" s="17">
        <f t="shared" si="0"/>
        <v>84.655000000000001</v>
      </c>
      <c r="W29" s="17">
        <f t="shared" si="1"/>
        <v>10.581875</v>
      </c>
      <c r="X29" s="8"/>
    </row>
    <row r="30" spans="1:24" ht="23.25" customHeight="1" x14ac:dyDescent="0.25">
      <c r="A30" s="29"/>
      <c r="B30" s="32"/>
      <c r="C30" s="35"/>
      <c r="D30" s="38"/>
      <c r="E30" s="41"/>
      <c r="F30" s="44"/>
      <c r="G30" s="49" t="s">
        <v>37</v>
      </c>
      <c r="H30" s="4" t="s">
        <v>22</v>
      </c>
      <c r="I30" s="1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17">
        <f t="shared" si="0"/>
        <v>0</v>
      </c>
      <c r="W30" s="17">
        <f t="shared" si="1"/>
        <v>0</v>
      </c>
      <c r="X30" s="8"/>
    </row>
    <row r="31" spans="1:24" ht="23.25" customHeight="1" x14ac:dyDescent="0.25">
      <c r="A31" s="29"/>
      <c r="B31" s="32"/>
      <c r="C31" s="35"/>
      <c r="D31" s="38"/>
      <c r="E31" s="41"/>
      <c r="F31" s="44"/>
      <c r="G31" s="47"/>
      <c r="H31" s="4" t="s">
        <v>23</v>
      </c>
      <c r="I31" s="19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17">
        <f t="shared" si="0"/>
        <v>0</v>
      </c>
      <c r="W31" s="17">
        <f t="shared" si="1"/>
        <v>0</v>
      </c>
      <c r="X31" s="8"/>
    </row>
    <row r="32" spans="1:24" ht="23.25" customHeight="1" x14ac:dyDescent="0.25">
      <c r="A32" s="29"/>
      <c r="B32" s="32"/>
      <c r="C32" s="35"/>
      <c r="D32" s="38"/>
      <c r="E32" s="41"/>
      <c r="F32" s="44"/>
      <c r="G32" s="48"/>
      <c r="H32" s="4" t="s">
        <v>25</v>
      </c>
      <c r="I32" s="20">
        <f t="shared" ref="I32:T32" si="12">(I30+I31)/2</f>
        <v>0</v>
      </c>
      <c r="J32" s="7">
        <f t="shared" si="12"/>
        <v>0</v>
      </c>
      <c r="K32" s="7">
        <f t="shared" si="12"/>
        <v>0</v>
      </c>
      <c r="L32" s="7">
        <f t="shared" si="12"/>
        <v>0</v>
      </c>
      <c r="M32" s="7">
        <f t="shared" si="12"/>
        <v>0</v>
      </c>
      <c r="N32" s="7">
        <f t="shared" si="12"/>
        <v>0</v>
      </c>
      <c r="O32" s="7">
        <f t="shared" si="12"/>
        <v>0</v>
      </c>
      <c r="P32" s="7">
        <f t="shared" si="12"/>
        <v>0</v>
      </c>
      <c r="Q32" s="7">
        <f t="shared" si="12"/>
        <v>0</v>
      </c>
      <c r="R32" s="7">
        <f t="shared" si="12"/>
        <v>0</v>
      </c>
      <c r="S32" s="7">
        <f t="shared" si="12"/>
        <v>0</v>
      </c>
      <c r="T32" s="7">
        <f t="shared" si="12"/>
        <v>0</v>
      </c>
      <c r="U32" s="6"/>
      <c r="V32" s="17">
        <f t="shared" si="0"/>
        <v>0</v>
      </c>
      <c r="W32" s="17">
        <f t="shared" si="1"/>
        <v>0</v>
      </c>
      <c r="X32" s="8"/>
    </row>
    <row r="33" spans="1:24" ht="23.25" customHeight="1" thickBot="1" x14ac:dyDescent="0.3">
      <c r="A33" s="30"/>
      <c r="B33" s="33"/>
      <c r="C33" s="36"/>
      <c r="D33" s="39"/>
      <c r="E33" s="52"/>
      <c r="F33" s="45"/>
      <c r="G33" s="50" t="s">
        <v>26</v>
      </c>
      <c r="H33" s="51"/>
      <c r="I33" s="20">
        <f t="shared" ref="I33:T33" si="13">(I29+I32)/2</f>
        <v>3.3325</v>
      </c>
      <c r="J33" s="7">
        <f t="shared" si="13"/>
        <v>6.165</v>
      </c>
      <c r="K33" s="7">
        <f t="shared" si="13"/>
        <v>4.875</v>
      </c>
      <c r="L33" s="7">
        <f t="shared" si="13"/>
        <v>5.4574999999999996</v>
      </c>
      <c r="M33" s="7">
        <f t="shared" si="13"/>
        <v>6.54</v>
      </c>
      <c r="N33" s="7">
        <f t="shared" si="13"/>
        <v>0</v>
      </c>
      <c r="O33" s="7">
        <f t="shared" si="13"/>
        <v>4.4574999999999996</v>
      </c>
      <c r="P33" s="7">
        <f t="shared" si="13"/>
        <v>0</v>
      </c>
      <c r="Q33" s="7">
        <f t="shared" si="13"/>
        <v>0</v>
      </c>
      <c r="R33" s="7">
        <f t="shared" si="13"/>
        <v>0</v>
      </c>
      <c r="S33" s="7">
        <f t="shared" si="13"/>
        <v>4.75</v>
      </c>
      <c r="T33" s="7">
        <f t="shared" si="13"/>
        <v>6.75</v>
      </c>
      <c r="U33" s="6"/>
      <c r="V33" s="17">
        <f t="shared" si="0"/>
        <v>42.327500000000001</v>
      </c>
      <c r="W33" s="17">
        <f t="shared" si="1"/>
        <v>5.2909375000000001</v>
      </c>
      <c r="X33" s="8"/>
    </row>
    <row r="34" spans="1:24" ht="23.25" customHeight="1" x14ac:dyDescent="0.25">
      <c r="A34" s="28">
        <v>5</v>
      </c>
      <c r="B34" s="31" t="s">
        <v>29</v>
      </c>
      <c r="C34" s="34" t="s">
        <v>28</v>
      </c>
      <c r="D34" s="37" t="s">
        <v>30</v>
      </c>
      <c r="E34" s="40" t="s">
        <v>47</v>
      </c>
      <c r="F34" s="43" t="s">
        <v>32</v>
      </c>
      <c r="G34" s="46" t="s">
        <v>36</v>
      </c>
      <c r="H34" s="3" t="s">
        <v>22</v>
      </c>
      <c r="I34" s="19">
        <v>14.33</v>
      </c>
      <c r="J34" s="6">
        <v>11.33</v>
      </c>
      <c r="K34" s="6">
        <v>15.75</v>
      </c>
      <c r="L34" s="6">
        <v>14.67</v>
      </c>
      <c r="M34" s="6">
        <v>14.5</v>
      </c>
      <c r="N34" s="6"/>
      <c r="O34" s="6">
        <v>12.83</v>
      </c>
      <c r="P34" s="6"/>
      <c r="Q34" s="6"/>
      <c r="R34" s="6"/>
      <c r="S34" s="6">
        <v>12</v>
      </c>
      <c r="T34" s="6">
        <v>13</v>
      </c>
      <c r="U34" s="6"/>
      <c r="V34" s="17">
        <f t="shared" si="0"/>
        <v>108.41</v>
      </c>
      <c r="W34" s="17">
        <f t="shared" si="1"/>
        <v>13.55125</v>
      </c>
      <c r="X34" s="8"/>
    </row>
    <row r="35" spans="1:24" ht="23.25" customHeight="1" x14ac:dyDescent="0.25">
      <c r="A35" s="29"/>
      <c r="B35" s="32"/>
      <c r="C35" s="35"/>
      <c r="D35" s="38"/>
      <c r="E35" s="41"/>
      <c r="F35" s="44"/>
      <c r="G35" s="47"/>
      <c r="H35" s="4" t="s">
        <v>23</v>
      </c>
      <c r="I35" s="19">
        <v>0</v>
      </c>
      <c r="J35" s="6">
        <v>12</v>
      </c>
      <c r="K35" s="6">
        <v>13</v>
      </c>
      <c r="L35" s="6">
        <v>12.75</v>
      </c>
      <c r="M35" s="6">
        <v>17</v>
      </c>
      <c r="N35" s="6"/>
      <c r="O35" s="6">
        <v>7</v>
      </c>
      <c r="P35" s="6"/>
      <c r="Q35" s="6"/>
      <c r="R35" s="6"/>
      <c r="S35" s="6">
        <v>10</v>
      </c>
      <c r="T35" s="6">
        <v>18</v>
      </c>
      <c r="U35" s="6"/>
      <c r="V35" s="17">
        <f t="shared" si="0"/>
        <v>89.75</v>
      </c>
      <c r="W35" s="17">
        <f t="shared" si="1"/>
        <v>11.21875</v>
      </c>
      <c r="X35" s="8"/>
    </row>
    <row r="36" spans="1:24" ht="23.25" customHeight="1" x14ac:dyDescent="0.25">
      <c r="A36" s="29"/>
      <c r="B36" s="32"/>
      <c r="C36" s="35"/>
      <c r="D36" s="38"/>
      <c r="E36" s="41"/>
      <c r="F36" s="44"/>
      <c r="G36" s="48"/>
      <c r="H36" s="4" t="s">
        <v>24</v>
      </c>
      <c r="I36" s="20">
        <f t="shared" ref="I36:T36" si="14">(I34+I35)/2</f>
        <v>7.165</v>
      </c>
      <c r="J36" s="7">
        <f t="shared" si="14"/>
        <v>11.664999999999999</v>
      </c>
      <c r="K36" s="7">
        <f t="shared" si="14"/>
        <v>14.375</v>
      </c>
      <c r="L36" s="7">
        <f t="shared" si="14"/>
        <v>13.71</v>
      </c>
      <c r="M36" s="7">
        <f t="shared" si="14"/>
        <v>15.75</v>
      </c>
      <c r="N36" s="7">
        <f t="shared" si="14"/>
        <v>0</v>
      </c>
      <c r="O36" s="7">
        <f t="shared" si="14"/>
        <v>9.9149999999999991</v>
      </c>
      <c r="P36" s="7">
        <f t="shared" si="14"/>
        <v>0</v>
      </c>
      <c r="Q36" s="7">
        <f t="shared" si="14"/>
        <v>0</v>
      </c>
      <c r="R36" s="7">
        <f t="shared" si="14"/>
        <v>0</v>
      </c>
      <c r="S36" s="7">
        <f t="shared" si="14"/>
        <v>11</v>
      </c>
      <c r="T36" s="7">
        <f t="shared" si="14"/>
        <v>15.5</v>
      </c>
      <c r="U36" s="6"/>
      <c r="V36" s="17">
        <f t="shared" si="0"/>
        <v>99.08</v>
      </c>
      <c r="W36" s="17">
        <f t="shared" si="1"/>
        <v>12.385</v>
      </c>
      <c r="X36" s="8"/>
    </row>
    <row r="37" spans="1:24" ht="23.25" customHeight="1" x14ac:dyDescent="0.25">
      <c r="A37" s="29"/>
      <c r="B37" s="32"/>
      <c r="C37" s="35"/>
      <c r="D37" s="38"/>
      <c r="E37" s="41"/>
      <c r="F37" s="44"/>
      <c r="G37" s="49" t="s">
        <v>37</v>
      </c>
      <c r="H37" s="4" t="s">
        <v>22</v>
      </c>
      <c r="I37" s="1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17">
        <f t="shared" si="0"/>
        <v>0</v>
      </c>
      <c r="W37" s="17">
        <f t="shared" si="1"/>
        <v>0</v>
      </c>
      <c r="X37" s="8"/>
    </row>
    <row r="38" spans="1:24" ht="23.25" customHeight="1" x14ac:dyDescent="0.25">
      <c r="A38" s="29"/>
      <c r="B38" s="32"/>
      <c r="C38" s="35"/>
      <c r="D38" s="38"/>
      <c r="E38" s="41"/>
      <c r="F38" s="44"/>
      <c r="G38" s="47"/>
      <c r="H38" s="4" t="s">
        <v>23</v>
      </c>
      <c r="I38" s="19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7">
        <f t="shared" si="0"/>
        <v>0</v>
      </c>
      <c r="W38" s="17">
        <f t="shared" si="1"/>
        <v>0</v>
      </c>
      <c r="X38" s="8"/>
    </row>
    <row r="39" spans="1:24" ht="23.25" customHeight="1" x14ac:dyDescent="0.25">
      <c r="A39" s="29"/>
      <c r="B39" s="32"/>
      <c r="C39" s="35"/>
      <c r="D39" s="38"/>
      <c r="E39" s="41"/>
      <c r="F39" s="44"/>
      <c r="G39" s="48"/>
      <c r="H39" s="4" t="s">
        <v>25</v>
      </c>
      <c r="I39" s="20">
        <f t="shared" ref="I39:T39" si="15">(I37+I38)/2</f>
        <v>0</v>
      </c>
      <c r="J39" s="7">
        <f t="shared" si="15"/>
        <v>0</v>
      </c>
      <c r="K39" s="7">
        <f t="shared" si="15"/>
        <v>0</v>
      </c>
      <c r="L39" s="7">
        <f t="shared" si="15"/>
        <v>0</v>
      </c>
      <c r="M39" s="7">
        <f t="shared" si="15"/>
        <v>0</v>
      </c>
      <c r="N39" s="7">
        <f t="shared" si="15"/>
        <v>0</v>
      </c>
      <c r="O39" s="7">
        <f t="shared" si="15"/>
        <v>0</v>
      </c>
      <c r="P39" s="7">
        <f t="shared" si="15"/>
        <v>0</v>
      </c>
      <c r="Q39" s="7">
        <f t="shared" si="15"/>
        <v>0</v>
      </c>
      <c r="R39" s="7">
        <f t="shared" si="15"/>
        <v>0</v>
      </c>
      <c r="S39" s="7">
        <f t="shared" si="15"/>
        <v>0</v>
      </c>
      <c r="T39" s="7">
        <f t="shared" si="15"/>
        <v>0</v>
      </c>
      <c r="U39" s="6"/>
      <c r="V39" s="17">
        <f t="shared" si="0"/>
        <v>0</v>
      </c>
      <c r="W39" s="17">
        <f t="shared" si="1"/>
        <v>0</v>
      </c>
      <c r="X39" s="8"/>
    </row>
    <row r="40" spans="1:24" ht="23.25" customHeight="1" thickBot="1" x14ac:dyDescent="0.3">
      <c r="A40" s="30"/>
      <c r="B40" s="33"/>
      <c r="C40" s="36"/>
      <c r="D40" s="39"/>
      <c r="E40" s="52"/>
      <c r="F40" s="45"/>
      <c r="G40" s="50" t="s">
        <v>26</v>
      </c>
      <c r="H40" s="51"/>
      <c r="I40" s="20">
        <f t="shared" ref="I40:T40" si="16">(I36+I39)/2</f>
        <v>3.5825</v>
      </c>
      <c r="J40" s="7">
        <f t="shared" si="16"/>
        <v>5.8324999999999996</v>
      </c>
      <c r="K40" s="7">
        <f t="shared" si="16"/>
        <v>7.1875</v>
      </c>
      <c r="L40" s="7">
        <f t="shared" si="16"/>
        <v>6.8550000000000004</v>
      </c>
      <c r="M40" s="7">
        <f t="shared" si="16"/>
        <v>7.875</v>
      </c>
      <c r="N40" s="7">
        <f t="shared" si="16"/>
        <v>0</v>
      </c>
      <c r="O40" s="7">
        <f t="shared" si="16"/>
        <v>4.9574999999999996</v>
      </c>
      <c r="P40" s="7">
        <f t="shared" si="16"/>
        <v>0</v>
      </c>
      <c r="Q40" s="7">
        <f t="shared" si="16"/>
        <v>0</v>
      </c>
      <c r="R40" s="7">
        <f t="shared" si="16"/>
        <v>0</v>
      </c>
      <c r="S40" s="7">
        <f t="shared" si="16"/>
        <v>5.5</v>
      </c>
      <c r="T40" s="7">
        <f t="shared" si="16"/>
        <v>7.75</v>
      </c>
      <c r="U40" s="6"/>
      <c r="V40" s="17">
        <f t="shared" si="0"/>
        <v>49.54</v>
      </c>
      <c r="W40" s="17">
        <f t="shared" si="1"/>
        <v>6.1924999999999999</v>
      </c>
      <c r="X40" s="8"/>
    </row>
    <row r="41" spans="1:24" ht="23.25" customHeight="1" x14ac:dyDescent="0.25">
      <c r="A41" s="28">
        <v>6</v>
      </c>
      <c r="B41" s="31" t="s">
        <v>29</v>
      </c>
      <c r="C41" s="34" t="s">
        <v>28</v>
      </c>
      <c r="D41" s="37" t="s">
        <v>30</v>
      </c>
      <c r="E41" s="40" t="s">
        <v>48</v>
      </c>
      <c r="F41" s="43" t="s">
        <v>33</v>
      </c>
      <c r="G41" s="46" t="s">
        <v>36</v>
      </c>
      <c r="H41" s="3" t="s">
        <v>22</v>
      </c>
      <c r="I41" s="19">
        <v>10.33</v>
      </c>
      <c r="J41" s="6">
        <v>10.66</v>
      </c>
      <c r="K41" s="6">
        <v>14.5</v>
      </c>
      <c r="L41" s="6">
        <v>14.83</v>
      </c>
      <c r="M41" s="6">
        <v>9.33</v>
      </c>
      <c r="N41" s="6"/>
      <c r="O41" s="6">
        <v>11.16</v>
      </c>
      <c r="P41" s="6"/>
      <c r="Q41" s="6"/>
      <c r="R41" s="6"/>
      <c r="S41" s="6">
        <v>13</v>
      </c>
      <c r="T41" s="6">
        <v>6</v>
      </c>
      <c r="U41" s="6"/>
      <c r="V41" s="17">
        <f t="shared" si="0"/>
        <v>89.81</v>
      </c>
      <c r="W41" s="17">
        <f t="shared" si="1"/>
        <v>11.22625</v>
      </c>
      <c r="X41" s="8"/>
    </row>
    <row r="42" spans="1:24" ht="23.25" customHeight="1" x14ac:dyDescent="0.25">
      <c r="A42" s="29"/>
      <c r="B42" s="32"/>
      <c r="C42" s="35"/>
      <c r="D42" s="38"/>
      <c r="E42" s="41"/>
      <c r="F42" s="44"/>
      <c r="G42" s="47"/>
      <c r="H42" s="4" t="s">
        <v>23</v>
      </c>
      <c r="I42" s="19">
        <v>4</v>
      </c>
      <c r="J42" s="6">
        <v>13.75</v>
      </c>
      <c r="K42" s="6">
        <v>6</v>
      </c>
      <c r="L42" s="6">
        <v>6.25</v>
      </c>
      <c r="M42" s="6">
        <v>12.5</v>
      </c>
      <c r="N42" s="6"/>
      <c r="O42" s="6">
        <v>9.5</v>
      </c>
      <c r="P42" s="6"/>
      <c r="Q42" s="6"/>
      <c r="R42" s="6"/>
      <c r="S42" s="6">
        <v>8</v>
      </c>
      <c r="T42" s="6">
        <v>8</v>
      </c>
      <c r="U42" s="6"/>
      <c r="V42" s="17">
        <f t="shared" si="0"/>
        <v>68</v>
      </c>
      <c r="W42" s="17">
        <f t="shared" si="1"/>
        <v>8.5</v>
      </c>
      <c r="X42" s="8"/>
    </row>
    <row r="43" spans="1:24" ht="23.25" customHeight="1" x14ac:dyDescent="0.25">
      <c r="A43" s="29"/>
      <c r="B43" s="32"/>
      <c r="C43" s="35"/>
      <c r="D43" s="38"/>
      <c r="E43" s="41"/>
      <c r="F43" s="44"/>
      <c r="G43" s="48"/>
      <c r="H43" s="4" t="s">
        <v>24</v>
      </c>
      <c r="I43" s="20">
        <f t="shared" ref="I43:T43" si="17">(I41+I42)/2</f>
        <v>7.165</v>
      </c>
      <c r="J43" s="7">
        <f t="shared" si="17"/>
        <v>12.205</v>
      </c>
      <c r="K43" s="7">
        <f t="shared" si="17"/>
        <v>10.25</v>
      </c>
      <c r="L43" s="7">
        <f t="shared" si="17"/>
        <v>10.54</v>
      </c>
      <c r="M43" s="7">
        <f t="shared" si="17"/>
        <v>10.914999999999999</v>
      </c>
      <c r="N43" s="7">
        <f t="shared" si="17"/>
        <v>0</v>
      </c>
      <c r="O43" s="7">
        <f t="shared" si="17"/>
        <v>10.33</v>
      </c>
      <c r="P43" s="7">
        <f t="shared" si="17"/>
        <v>0</v>
      </c>
      <c r="Q43" s="7">
        <f t="shared" si="17"/>
        <v>0</v>
      </c>
      <c r="R43" s="7">
        <f t="shared" si="17"/>
        <v>0</v>
      </c>
      <c r="S43" s="7">
        <f t="shared" si="17"/>
        <v>10.5</v>
      </c>
      <c r="T43" s="7">
        <f t="shared" si="17"/>
        <v>7</v>
      </c>
      <c r="U43" s="6"/>
      <c r="V43" s="17">
        <f t="shared" si="0"/>
        <v>78.905000000000001</v>
      </c>
      <c r="W43" s="17">
        <f t="shared" si="1"/>
        <v>9.8631250000000001</v>
      </c>
      <c r="X43" s="8"/>
    </row>
    <row r="44" spans="1:24" ht="23.25" customHeight="1" x14ac:dyDescent="0.25">
      <c r="A44" s="29"/>
      <c r="B44" s="32"/>
      <c r="C44" s="35"/>
      <c r="D44" s="38"/>
      <c r="E44" s="41"/>
      <c r="F44" s="44"/>
      <c r="G44" s="49" t="s">
        <v>37</v>
      </c>
      <c r="H44" s="4" t="s">
        <v>22</v>
      </c>
      <c r="I44" s="19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7">
        <f t="shared" si="0"/>
        <v>0</v>
      </c>
      <c r="W44" s="17">
        <f t="shared" si="1"/>
        <v>0</v>
      </c>
      <c r="X44" s="8"/>
    </row>
    <row r="45" spans="1:24" ht="23.25" customHeight="1" x14ac:dyDescent="0.25">
      <c r="A45" s="29"/>
      <c r="B45" s="32"/>
      <c r="C45" s="35"/>
      <c r="D45" s="38"/>
      <c r="E45" s="41"/>
      <c r="F45" s="44"/>
      <c r="G45" s="47"/>
      <c r="H45" s="4" t="s">
        <v>23</v>
      </c>
      <c r="I45" s="1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7">
        <f t="shared" si="0"/>
        <v>0</v>
      </c>
      <c r="W45" s="17">
        <f t="shared" si="1"/>
        <v>0</v>
      </c>
      <c r="X45" s="8"/>
    </row>
    <row r="46" spans="1:24" ht="23.25" customHeight="1" x14ac:dyDescent="0.25">
      <c r="A46" s="29"/>
      <c r="B46" s="32"/>
      <c r="C46" s="35"/>
      <c r="D46" s="38"/>
      <c r="E46" s="41"/>
      <c r="F46" s="44"/>
      <c r="G46" s="48"/>
      <c r="H46" s="4" t="s">
        <v>25</v>
      </c>
      <c r="I46" s="20">
        <f t="shared" ref="I46:T46" si="18">(I44+I45)/2</f>
        <v>0</v>
      </c>
      <c r="J46" s="7">
        <f t="shared" si="18"/>
        <v>0</v>
      </c>
      <c r="K46" s="7">
        <f t="shared" si="18"/>
        <v>0</v>
      </c>
      <c r="L46" s="7">
        <f t="shared" si="18"/>
        <v>0</v>
      </c>
      <c r="M46" s="7">
        <f t="shared" si="18"/>
        <v>0</v>
      </c>
      <c r="N46" s="7">
        <f t="shared" si="18"/>
        <v>0</v>
      </c>
      <c r="O46" s="7">
        <f t="shared" si="18"/>
        <v>0</v>
      </c>
      <c r="P46" s="7">
        <f t="shared" si="18"/>
        <v>0</v>
      </c>
      <c r="Q46" s="7">
        <f t="shared" si="18"/>
        <v>0</v>
      </c>
      <c r="R46" s="7">
        <f t="shared" si="18"/>
        <v>0</v>
      </c>
      <c r="S46" s="7">
        <f t="shared" si="18"/>
        <v>0</v>
      </c>
      <c r="T46" s="7">
        <f t="shared" si="18"/>
        <v>0</v>
      </c>
      <c r="U46" s="6"/>
      <c r="V46" s="17">
        <f t="shared" si="0"/>
        <v>0</v>
      </c>
      <c r="W46" s="17">
        <f t="shared" si="1"/>
        <v>0</v>
      </c>
      <c r="X46" s="8"/>
    </row>
    <row r="47" spans="1:24" ht="23.25" customHeight="1" thickBot="1" x14ac:dyDescent="0.3">
      <c r="A47" s="30"/>
      <c r="B47" s="33"/>
      <c r="C47" s="36"/>
      <c r="D47" s="39"/>
      <c r="E47" s="52"/>
      <c r="F47" s="45"/>
      <c r="G47" s="50" t="s">
        <v>26</v>
      </c>
      <c r="H47" s="51"/>
      <c r="I47" s="20">
        <f t="shared" ref="I47:T47" si="19">(I43+I46)/2</f>
        <v>3.5825</v>
      </c>
      <c r="J47" s="7">
        <f t="shared" si="19"/>
        <v>6.1025</v>
      </c>
      <c r="K47" s="7">
        <f t="shared" si="19"/>
        <v>5.125</v>
      </c>
      <c r="L47" s="7">
        <f t="shared" si="19"/>
        <v>5.27</v>
      </c>
      <c r="M47" s="7">
        <f t="shared" si="19"/>
        <v>5.4574999999999996</v>
      </c>
      <c r="N47" s="7">
        <f t="shared" si="19"/>
        <v>0</v>
      </c>
      <c r="O47" s="7">
        <f t="shared" si="19"/>
        <v>5.165</v>
      </c>
      <c r="P47" s="7">
        <f t="shared" si="19"/>
        <v>0</v>
      </c>
      <c r="Q47" s="7">
        <f t="shared" si="19"/>
        <v>0</v>
      </c>
      <c r="R47" s="7">
        <f t="shared" si="19"/>
        <v>0</v>
      </c>
      <c r="S47" s="7">
        <f t="shared" si="19"/>
        <v>5.25</v>
      </c>
      <c r="T47" s="7">
        <f t="shared" si="19"/>
        <v>3.5</v>
      </c>
      <c r="U47" s="6"/>
      <c r="V47" s="17">
        <f t="shared" si="0"/>
        <v>39.452500000000001</v>
      </c>
      <c r="W47" s="17">
        <f t="shared" si="1"/>
        <v>4.9315625000000001</v>
      </c>
      <c r="X47" s="8"/>
    </row>
    <row r="48" spans="1:24" ht="23.25" customHeight="1" x14ac:dyDescent="0.25">
      <c r="A48" s="28">
        <v>7</v>
      </c>
      <c r="B48" s="31" t="s">
        <v>29</v>
      </c>
      <c r="C48" s="34" t="s">
        <v>28</v>
      </c>
      <c r="D48" s="37" t="s">
        <v>30</v>
      </c>
      <c r="E48" s="40" t="s">
        <v>49</v>
      </c>
      <c r="F48" s="43" t="s">
        <v>32</v>
      </c>
      <c r="G48" s="46" t="s">
        <v>36</v>
      </c>
      <c r="H48" s="3" t="s">
        <v>22</v>
      </c>
      <c r="I48" s="19">
        <v>11.67</v>
      </c>
      <c r="J48" s="6">
        <v>10.66</v>
      </c>
      <c r="K48" s="6">
        <v>15</v>
      </c>
      <c r="L48" s="6">
        <v>14</v>
      </c>
      <c r="M48" s="6">
        <v>10.5</v>
      </c>
      <c r="N48" s="6"/>
      <c r="O48" s="6">
        <v>12</v>
      </c>
      <c r="P48" s="6"/>
      <c r="Q48" s="6"/>
      <c r="R48" s="6"/>
      <c r="S48" s="6">
        <v>12</v>
      </c>
      <c r="T48" s="6">
        <v>11.5</v>
      </c>
      <c r="U48" s="6"/>
      <c r="V48" s="17">
        <f t="shared" si="0"/>
        <v>97.33</v>
      </c>
      <c r="W48" s="17">
        <f t="shared" si="1"/>
        <v>12.16625</v>
      </c>
      <c r="X48" s="8"/>
    </row>
    <row r="49" spans="1:24" ht="23.25" customHeight="1" x14ac:dyDescent="0.25">
      <c r="A49" s="29"/>
      <c r="B49" s="32"/>
      <c r="C49" s="35"/>
      <c r="D49" s="38"/>
      <c r="E49" s="41"/>
      <c r="F49" s="44"/>
      <c r="G49" s="47"/>
      <c r="H49" s="4" t="s">
        <v>23</v>
      </c>
      <c r="I49" s="19">
        <v>8</v>
      </c>
      <c r="J49" s="6">
        <v>8</v>
      </c>
      <c r="K49" s="6">
        <v>13</v>
      </c>
      <c r="L49" s="6">
        <v>10</v>
      </c>
      <c r="M49" s="6">
        <v>16.5</v>
      </c>
      <c r="N49" s="6"/>
      <c r="O49" s="6">
        <v>12.5</v>
      </c>
      <c r="P49" s="6"/>
      <c r="Q49" s="6"/>
      <c r="R49" s="6"/>
      <c r="S49" s="6">
        <v>10</v>
      </c>
      <c r="T49" s="6">
        <v>14</v>
      </c>
      <c r="U49" s="6"/>
      <c r="V49" s="17">
        <f t="shared" si="0"/>
        <v>92</v>
      </c>
      <c r="W49" s="17">
        <f t="shared" si="1"/>
        <v>11.5</v>
      </c>
      <c r="X49" s="8"/>
    </row>
    <row r="50" spans="1:24" ht="23.25" customHeight="1" x14ac:dyDescent="0.25">
      <c r="A50" s="29"/>
      <c r="B50" s="32"/>
      <c r="C50" s="35"/>
      <c r="D50" s="38"/>
      <c r="E50" s="41"/>
      <c r="F50" s="44"/>
      <c r="G50" s="48"/>
      <c r="H50" s="4" t="s">
        <v>24</v>
      </c>
      <c r="I50" s="20">
        <f t="shared" ref="I50:T50" si="20">(I48+I49)/2</f>
        <v>9.8350000000000009</v>
      </c>
      <c r="J50" s="7">
        <f t="shared" si="20"/>
        <v>9.33</v>
      </c>
      <c r="K50" s="7">
        <f t="shared" si="20"/>
        <v>14</v>
      </c>
      <c r="L50" s="7">
        <f t="shared" si="20"/>
        <v>12</v>
      </c>
      <c r="M50" s="7">
        <f t="shared" si="20"/>
        <v>13.5</v>
      </c>
      <c r="N50" s="7">
        <f t="shared" si="20"/>
        <v>0</v>
      </c>
      <c r="O50" s="7">
        <f t="shared" si="20"/>
        <v>12.25</v>
      </c>
      <c r="P50" s="7">
        <f t="shared" si="20"/>
        <v>0</v>
      </c>
      <c r="Q50" s="7">
        <f t="shared" si="20"/>
        <v>0</v>
      </c>
      <c r="R50" s="7">
        <f t="shared" si="20"/>
        <v>0</v>
      </c>
      <c r="S50" s="7">
        <f t="shared" si="20"/>
        <v>11</v>
      </c>
      <c r="T50" s="7">
        <f t="shared" si="20"/>
        <v>12.75</v>
      </c>
      <c r="U50" s="6"/>
      <c r="V50" s="17">
        <f t="shared" si="0"/>
        <v>94.664999999999992</v>
      </c>
      <c r="W50" s="17">
        <f t="shared" si="1"/>
        <v>11.833124999999999</v>
      </c>
      <c r="X50" s="8"/>
    </row>
    <row r="51" spans="1:24" ht="23.25" customHeight="1" x14ac:dyDescent="0.25">
      <c r="A51" s="29"/>
      <c r="B51" s="32"/>
      <c r="C51" s="35"/>
      <c r="D51" s="38"/>
      <c r="E51" s="41"/>
      <c r="F51" s="44"/>
      <c r="G51" s="49" t="s">
        <v>37</v>
      </c>
      <c r="H51" s="4" t="s">
        <v>22</v>
      </c>
      <c r="I51" s="19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7">
        <f t="shared" si="0"/>
        <v>0</v>
      </c>
      <c r="W51" s="17">
        <f t="shared" si="1"/>
        <v>0</v>
      </c>
      <c r="X51" s="8"/>
    </row>
    <row r="52" spans="1:24" ht="23.25" customHeight="1" x14ac:dyDescent="0.25">
      <c r="A52" s="29"/>
      <c r="B52" s="32"/>
      <c r="C52" s="35"/>
      <c r="D52" s="38"/>
      <c r="E52" s="41"/>
      <c r="F52" s="44"/>
      <c r="G52" s="47"/>
      <c r="H52" s="4" t="s">
        <v>23</v>
      </c>
      <c r="I52" s="19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7">
        <f t="shared" si="0"/>
        <v>0</v>
      </c>
      <c r="W52" s="17">
        <f t="shared" si="1"/>
        <v>0</v>
      </c>
      <c r="X52" s="8"/>
    </row>
    <row r="53" spans="1:24" ht="23.25" customHeight="1" x14ac:dyDescent="0.25">
      <c r="A53" s="29"/>
      <c r="B53" s="32"/>
      <c r="C53" s="35"/>
      <c r="D53" s="38"/>
      <c r="E53" s="41"/>
      <c r="F53" s="44"/>
      <c r="G53" s="48"/>
      <c r="H53" s="4" t="s">
        <v>25</v>
      </c>
      <c r="I53" s="20">
        <f t="shared" ref="I53:T53" si="21">(I51+I52)/2</f>
        <v>0</v>
      </c>
      <c r="J53" s="7">
        <f t="shared" si="21"/>
        <v>0</v>
      </c>
      <c r="K53" s="7">
        <f t="shared" si="21"/>
        <v>0</v>
      </c>
      <c r="L53" s="7">
        <f t="shared" si="21"/>
        <v>0</v>
      </c>
      <c r="M53" s="7">
        <f t="shared" si="21"/>
        <v>0</v>
      </c>
      <c r="N53" s="7">
        <f t="shared" si="21"/>
        <v>0</v>
      </c>
      <c r="O53" s="7">
        <f t="shared" si="21"/>
        <v>0</v>
      </c>
      <c r="P53" s="7">
        <f t="shared" si="21"/>
        <v>0</v>
      </c>
      <c r="Q53" s="7">
        <f t="shared" si="21"/>
        <v>0</v>
      </c>
      <c r="R53" s="7">
        <f t="shared" si="21"/>
        <v>0</v>
      </c>
      <c r="S53" s="7">
        <f t="shared" si="21"/>
        <v>0</v>
      </c>
      <c r="T53" s="7">
        <f t="shared" si="21"/>
        <v>0</v>
      </c>
      <c r="U53" s="6"/>
      <c r="V53" s="17">
        <f t="shared" si="0"/>
        <v>0</v>
      </c>
      <c r="W53" s="17">
        <f t="shared" si="1"/>
        <v>0</v>
      </c>
      <c r="X53" s="8"/>
    </row>
    <row r="54" spans="1:24" ht="23.25" customHeight="1" thickBot="1" x14ac:dyDescent="0.3">
      <c r="A54" s="30"/>
      <c r="B54" s="33"/>
      <c r="C54" s="36"/>
      <c r="D54" s="39"/>
      <c r="E54" s="52"/>
      <c r="F54" s="45"/>
      <c r="G54" s="50" t="s">
        <v>26</v>
      </c>
      <c r="H54" s="51"/>
      <c r="I54" s="20">
        <f t="shared" ref="I54:T54" si="22">(I50+I53)/2</f>
        <v>4.9175000000000004</v>
      </c>
      <c r="J54" s="7">
        <f t="shared" si="22"/>
        <v>4.665</v>
      </c>
      <c r="K54" s="7">
        <f t="shared" si="22"/>
        <v>7</v>
      </c>
      <c r="L54" s="7">
        <f t="shared" si="22"/>
        <v>6</v>
      </c>
      <c r="M54" s="7">
        <f t="shared" si="22"/>
        <v>6.75</v>
      </c>
      <c r="N54" s="7">
        <f t="shared" si="22"/>
        <v>0</v>
      </c>
      <c r="O54" s="7">
        <f t="shared" si="22"/>
        <v>6.125</v>
      </c>
      <c r="P54" s="7">
        <f t="shared" si="22"/>
        <v>0</v>
      </c>
      <c r="Q54" s="7">
        <f t="shared" si="22"/>
        <v>0</v>
      </c>
      <c r="R54" s="7">
        <f t="shared" si="22"/>
        <v>0</v>
      </c>
      <c r="S54" s="7">
        <f t="shared" si="22"/>
        <v>5.5</v>
      </c>
      <c r="T54" s="7">
        <f t="shared" si="22"/>
        <v>6.375</v>
      </c>
      <c r="U54" s="6"/>
      <c r="V54" s="17">
        <f t="shared" si="0"/>
        <v>47.332499999999996</v>
      </c>
      <c r="W54" s="17">
        <f t="shared" si="1"/>
        <v>5.9165624999999995</v>
      </c>
      <c r="X54" s="8"/>
    </row>
    <row r="55" spans="1:24" ht="23.25" customHeight="1" x14ac:dyDescent="0.25">
      <c r="A55" s="28">
        <v>8</v>
      </c>
      <c r="B55" s="31" t="s">
        <v>29</v>
      </c>
      <c r="C55" s="34" t="s">
        <v>28</v>
      </c>
      <c r="D55" s="37" t="s">
        <v>30</v>
      </c>
      <c r="E55" s="40" t="s">
        <v>50</v>
      </c>
      <c r="F55" s="43" t="s">
        <v>32</v>
      </c>
      <c r="G55" s="46" t="s">
        <v>36</v>
      </c>
      <c r="H55" s="3" t="s">
        <v>22</v>
      </c>
      <c r="I55" s="19">
        <v>10.67</v>
      </c>
      <c r="J55" s="6">
        <v>11</v>
      </c>
      <c r="K55" s="6">
        <v>8</v>
      </c>
      <c r="L55" s="6">
        <v>15.67</v>
      </c>
      <c r="M55" s="6">
        <v>10.33</v>
      </c>
      <c r="N55" s="6"/>
      <c r="O55" s="6">
        <v>11.66</v>
      </c>
      <c r="P55" s="6"/>
      <c r="Q55" s="6"/>
      <c r="R55" s="6"/>
      <c r="S55" s="6">
        <v>11.33</v>
      </c>
      <c r="T55" s="6">
        <v>13</v>
      </c>
      <c r="U55" s="6"/>
      <c r="V55" s="17">
        <f>(I55+J55+K55+L55+M55+N55+O55+P55+Q55+S55+T55)</f>
        <v>91.66</v>
      </c>
      <c r="W55" s="17">
        <f t="shared" si="1"/>
        <v>11.4575</v>
      </c>
      <c r="X55" s="8"/>
    </row>
    <row r="56" spans="1:24" ht="23.25" customHeight="1" x14ac:dyDescent="0.25">
      <c r="A56" s="29"/>
      <c r="B56" s="32"/>
      <c r="C56" s="35"/>
      <c r="D56" s="38"/>
      <c r="E56" s="41"/>
      <c r="F56" s="44"/>
      <c r="G56" s="47"/>
      <c r="H56" s="4" t="s">
        <v>23</v>
      </c>
      <c r="I56" s="19">
        <v>5</v>
      </c>
      <c r="J56" s="6">
        <v>7.5</v>
      </c>
      <c r="K56" s="6">
        <v>6</v>
      </c>
      <c r="L56" s="6">
        <v>8</v>
      </c>
      <c r="M56" s="6">
        <v>13</v>
      </c>
      <c r="N56" s="6"/>
      <c r="O56" s="6">
        <v>12</v>
      </c>
      <c r="P56" s="6"/>
      <c r="Q56" s="6"/>
      <c r="R56" s="6"/>
      <c r="S56" s="6">
        <v>5</v>
      </c>
      <c r="T56" s="6">
        <v>11</v>
      </c>
      <c r="U56" s="6"/>
      <c r="V56" s="17">
        <f t="shared" si="0"/>
        <v>67.5</v>
      </c>
      <c r="W56" s="17">
        <f t="shared" si="1"/>
        <v>8.4375</v>
      </c>
      <c r="X56" s="8"/>
    </row>
    <row r="57" spans="1:24" ht="23.25" customHeight="1" x14ac:dyDescent="0.25">
      <c r="A57" s="29"/>
      <c r="B57" s="32"/>
      <c r="C57" s="35"/>
      <c r="D57" s="38"/>
      <c r="E57" s="41"/>
      <c r="F57" s="44"/>
      <c r="G57" s="48"/>
      <c r="H57" s="4" t="s">
        <v>24</v>
      </c>
      <c r="I57" s="20">
        <f t="shared" ref="I57:T57" si="23">(I55+I56)/2</f>
        <v>7.835</v>
      </c>
      <c r="J57" s="7">
        <f t="shared" si="23"/>
        <v>9.25</v>
      </c>
      <c r="K57" s="7">
        <f t="shared" si="23"/>
        <v>7</v>
      </c>
      <c r="L57" s="7">
        <f t="shared" si="23"/>
        <v>11.835000000000001</v>
      </c>
      <c r="M57" s="7">
        <f t="shared" si="23"/>
        <v>11.664999999999999</v>
      </c>
      <c r="N57" s="7">
        <f t="shared" si="23"/>
        <v>0</v>
      </c>
      <c r="O57" s="7">
        <f t="shared" si="23"/>
        <v>11.83</v>
      </c>
      <c r="P57" s="7">
        <f t="shared" si="23"/>
        <v>0</v>
      </c>
      <c r="Q57" s="7">
        <f t="shared" si="23"/>
        <v>0</v>
      </c>
      <c r="R57" s="7">
        <f t="shared" si="23"/>
        <v>0</v>
      </c>
      <c r="S57" s="7">
        <f t="shared" si="23"/>
        <v>8.1649999999999991</v>
      </c>
      <c r="T57" s="7">
        <f t="shared" si="23"/>
        <v>12</v>
      </c>
      <c r="U57" s="6"/>
      <c r="V57" s="17">
        <f t="shared" si="0"/>
        <v>79.58</v>
      </c>
      <c r="W57" s="17">
        <f t="shared" si="1"/>
        <v>9.9474999999999998</v>
      </c>
      <c r="X57" s="8"/>
    </row>
    <row r="58" spans="1:24" ht="23.25" customHeight="1" x14ac:dyDescent="0.25">
      <c r="A58" s="29"/>
      <c r="B58" s="32"/>
      <c r="C58" s="35"/>
      <c r="D58" s="38"/>
      <c r="E58" s="41"/>
      <c r="F58" s="44"/>
      <c r="G58" s="49" t="s">
        <v>37</v>
      </c>
      <c r="H58" s="4" t="s">
        <v>22</v>
      </c>
      <c r="I58" s="19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7">
        <f t="shared" si="0"/>
        <v>0</v>
      </c>
      <c r="W58" s="17">
        <f t="shared" si="1"/>
        <v>0</v>
      </c>
      <c r="X58" s="8"/>
    </row>
    <row r="59" spans="1:24" ht="23.25" customHeight="1" x14ac:dyDescent="0.25">
      <c r="A59" s="29"/>
      <c r="B59" s="32"/>
      <c r="C59" s="35"/>
      <c r="D59" s="38"/>
      <c r="E59" s="41"/>
      <c r="F59" s="44"/>
      <c r="G59" s="47"/>
      <c r="H59" s="4" t="s">
        <v>23</v>
      </c>
      <c r="I59" s="19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17">
        <f t="shared" si="0"/>
        <v>0</v>
      </c>
      <c r="W59" s="17">
        <f t="shared" si="1"/>
        <v>0</v>
      </c>
      <c r="X59" s="8"/>
    </row>
    <row r="60" spans="1:24" ht="23.25" customHeight="1" x14ac:dyDescent="0.25">
      <c r="A60" s="29"/>
      <c r="B60" s="32"/>
      <c r="C60" s="35"/>
      <c r="D60" s="38"/>
      <c r="E60" s="41"/>
      <c r="F60" s="44"/>
      <c r="G60" s="48"/>
      <c r="H60" s="4" t="s">
        <v>25</v>
      </c>
      <c r="I60" s="20">
        <f t="shared" ref="I60:T60" si="24">(I58+I59)/2</f>
        <v>0</v>
      </c>
      <c r="J60" s="7">
        <f t="shared" si="24"/>
        <v>0</v>
      </c>
      <c r="K60" s="7">
        <f t="shared" si="24"/>
        <v>0</v>
      </c>
      <c r="L60" s="7">
        <f t="shared" si="24"/>
        <v>0</v>
      </c>
      <c r="M60" s="7">
        <f t="shared" si="24"/>
        <v>0</v>
      </c>
      <c r="N60" s="7">
        <f t="shared" si="24"/>
        <v>0</v>
      </c>
      <c r="O60" s="7">
        <f t="shared" si="24"/>
        <v>0</v>
      </c>
      <c r="P60" s="7">
        <f t="shared" si="24"/>
        <v>0</v>
      </c>
      <c r="Q60" s="7">
        <f t="shared" si="24"/>
        <v>0</v>
      </c>
      <c r="R60" s="7">
        <f t="shared" si="24"/>
        <v>0</v>
      </c>
      <c r="S60" s="7">
        <f t="shared" si="24"/>
        <v>0</v>
      </c>
      <c r="T60" s="7">
        <f t="shared" si="24"/>
        <v>0</v>
      </c>
      <c r="U60" s="6"/>
      <c r="V60" s="17">
        <f t="shared" si="0"/>
        <v>0</v>
      </c>
      <c r="W60" s="17">
        <f t="shared" si="1"/>
        <v>0</v>
      </c>
      <c r="X60" s="8"/>
    </row>
    <row r="61" spans="1:24" ht="23.25" customHeight="1" thickBot="1" x14ac:dyDescent="0.3">
      <c r="A61" s="30"/>
      <c r="B61" s="33"/>
      <c r="C61" s="36"/>
      <c r="D61" s="39"/>
      <c r="E61" s="52"/>
      <c r="F61" s="45"/>
      <c r="G61" s="50" t="s">
        <v>26</v>
      </c>
      <c r="H61" s="51"/>
      <c r="I61" s="20">
        <f t="shared" ref="I61:T61" si="25">(I57+I60)/2</f>
        <v>3.9175</v>
      </c>
      <c r="J61" s="7">
        <f t="shared" si="25"/>
        <v>4.625</v>
      </c>
      <c r="K61" s="7">
        <f t="shared" si="25"/>
        <v>3.5</v>
      </c>
      <c r="L61" s="7">
        <f t="shared" si="25"/>
        <v>5.9175000000000004</v>
      </c>
      <c r="M61" s="7">
        <f t="shared" si="25"/>
        <v>5.8324999999999996</v>
      </c>
      <c r="N61" s="7">
        <f t="shared" si="25"/>
        <v>0</v>
      </c>
      <c r="O61" s="7">
        <f t="shared" si="25"/>
        <v>5.915</v>
      </c>
      <c r="P61" s="7">
        <f t="shared" si="25"/>
        <v>0</v>
      </c>
      <c r="Q61" s="7">
        <f t="shared" si="25"/>
        <v>0</v>
      </c>
      <c r="R61" s="7">
        <f t="shared" si="25"/>
        <v>0</v>
      </c>
      <c r="S61" s="7">
        <f t="shared" si="25"/>
        <v>4.0824999999999996</v>
      </c>
      <c r="T61" s="7">
        <f t="shared" si="25"/>
        <v>6</v>
      </c>
      <c r="U61" s="6"/>
      <c r="V61" s="17">
        <f t="shared" si="0"/>
        <v>39.79</v>
      </c>
      <c r="W61" s="17">
        <f t="shared" si="1"/>
        <v>4.9737499999999999</v>
      </c>
      <c r="X61" s="8"/>
    </row>
    <row r="62" spans="1:24" ht="23.25" customHeight="1" x14ac:dyDescent="0.25">
      <c r="A62" s="28">
        <v>9</v>
      </c>
      <c r="B62" s="31" t="s">
        <v>29</v>
      </c>
      <c r="C62" s="34" t="s">
        <v>28</v>
      </c>
      <c r="D62" s="37" t="s">
        <v>30</v>
      </c>
      <c r="E62" s="40" t="s">
        <v>51</v>
      </c>
      <c r="F62" s="43" t="s">
        <v>33</v>
      </c>
      <c r="G62" s="46" t="s">
        <v>36</v>
      </c>
      <c r="H62" s="3" t="s">
        <v>22</v>
      </c>
      <c r="I62" s="19">
        <v>10.33</v>
      </c>
      <c r="J62" s="6">
        <v>11</v>
      </c>
      <c r="K62" s="6">
        <v>13</v>
      </c>
      <c r="L62" s="6">
        <v>14.33</v>
      </c>
      <c r="M62" s="6">
        <v>10.5</v>
      </c>
      <c r="N62" s="6"/>
      <c r="O62" s="6">
        <v>10.16</v>
      </c>
      <c r="P62" s="6"/>
      <c r="Q62" s="6"/>
      <c r="R62" s="6"/>
      <c r="S62" s="6">
        <v>11.33</v>
      </c>
      <c r="T62" s="6">
        <v>10.75</v>
      </c>
      <c r="U62" s="6"/>
      <c r="V62" s="17">
        <f t="shared" si="0"/>
        <v>91.399999999999991</v>
      </c>
      <c r="W62" s="17">
        <f t="shared" si="1"/>
        <v>11.424999999999999</v>
      </c>
      <c r="X62" s="8"/>
    </row>
    <row r="63" spans="1:24" ht="23.25" customHeight="1" x14ac:dyDescent="0.25">
      <c r="A63" s="29"/>
      <c r="B63" s="32"/>
      <c r="C63" s="35"/>
      <c r="D63" s="38"/>
      <c r="E63" s="41"/>
      <c r="F63" s="44"/>
      <c r="G63" s="47"/>
      <c r="H63" s="4" t="s">
        <v>23</v>
      </c>
      <c r="I63" s="19">
        <v>4</v>
      </c>
      <c r="J63" s="6">
        <v>11.5</v>
      </c>
      <c r="K63" s="6">
        <v>0</v>
      </c>
      <c r="L63" s="6">
        <v>6</v>
      </c>
      <c r="M63" s="6">
        <v>10.5</v>
      </c>
      <c r="N63" s="6"/>
      <c r="O63" s="6">
        <v>5</v>
      </c>
      <c r="P63" s="6"/>
      <c r="Q63" s="6"/>
      <c r="R63" s="6"/>
      <c r="S63" s="6">
        <v>5</v>
      </c>
      <c r="T63" s="6">
        <v>8</v>
      </c>
      <c r="U63" s="6"/>
      <c r="V63" s="17">
        <f t="shared" si="0"/>
        <v>50</v>
      </c>
      <c r="W63" s="17">
        <f t="shared" si="1"/>
        <v>6.25</v>
      </c>
      <c r="X63" s="8"/>
    </row>
    <row r="64" spans="1:24" ht="23.25" customHeight="1" x14ac:dyDescent="0.25">
      <c r="A64" s="29"/>
      <c r="B64" s="32"/>
      <c r="C64" s="35"/>
      <c r="D64" s="38"/>
      <c r="E64" s="41"/>
      <c r="F64" s="44"/>
      <c r="G64" s="48"/>
      <c r="H64" s="4" t="s">
        <v>24</v>
      </c>
      <c r="I64" s="20">
        <f t="shared" ref="I64:T64" si="26">(I62+I63)/2</f>
        <v>7.165</v>
      </c>
      <c r="J64" s="7">
        <f t="shared" si="26"/>
        <v>11.25</v>
      </c>
      <c r="K64" s="7">
        <f t="shared" si="26"/>
        <v>6.5</v>
      </c>
      <c r="L64" s="7">
        <f t="shared" si="26"/>
        <v>10.164999999999999</v>
      </c>
      <c r="M64" s="7">
        <f t="shared" si="26"/>
        <v>10.5</v>
      </c>
      <c r="N64" s="7">
        <f t="shared" si="26"/>
        <v>0</v>
      </c>
      <c r="O64" s="7">
        <f t="shared" si="26"/>
        <v>7.58</v>
      </c>
      <c r="P64" s="7">
        <f t="shared" si="26"/>
        <v>0</v>
      </c>
      <c r="Q64" s="7">
        <f t="shared" si="26"/>
        <v>0</v>
      </c>
      <c r="R64" s="7">
        <f t="shared" si="26"/>
        <v>0</v>
      </c>
      <c r="S64" s="7">
        <f t="shared" si="26"/>
        <v>8.1649999999999991</v>
      </c>
      <c r="T64" s="7">
        <f t="shared" si="26"/>
        <v>9.375</v>
      </c>
      <c r="U64" s="6"/>
      <c r="V64" s="17">
        <f t="shared" si="0"/>
        <v>70.699999999999989</v>
      </c>
      <c r="W64" s="17">
        <f t="shared" si="1"/>
        <v>8.8374999999999986</v>
      </c>
      <c r="X64" s="8"/>
    </row>
    <row r="65" spans="1:24" ht="23.25" customHeight="1" x14ac:dyDescent="0.25">
      <c r="A65" s="29"/>
      <c r="B65" s="32"/>
      <c r="C65" s="35"/>
      <c r="D65" s="38"/>
      <c r="E65" s="41"/>
      <c r="F65" s="44"/>
      <c r="G65" s="49" t="s">
        <v>37</v>
      </c>
      <c r="H65" s="4" t="s">
        <v>22</v>
      </c>
      <c r="I65" s="19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17">
        <f t="shared" si="0"/>
        <v>0</v>
      </c>
      <c r="W65" s="17">
        <f t="shared" si="1"/>
        <v>0</v>
      </c>
      <c r="X65" s="8"/>
    </row>
    <row r="66" spans="1:24" ht="23.25" customHeight="1" x14ac:dyDescent="0.25">
      <c r="A66" s="29"/>
      <c r="B66" s="32"/>
      <c r="C66" s="35"/>
      <c r="D66" s="38"/>
      <c r="E66" s="41"/>
      <c r="F66" s="44"/>
      <c r="G66" s="47"/>
      <c r="H66" s="4" t="s">
        <v>23</v>
      </c>
      <c r="I66" s="19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17">
        <f t="shared" si="0"/>
        <v>0</v>
      </c>
      <c r="W66" s="17">
        <f t="shared" si="1"/>
        <v>0</v>
      </c>
      <c r="X66" s="8"/>
    </row>
    <row r="67" spans="1:24" ht="23.25" customHeight="1" x14ac:dyDescent="0.25">
      <c r="A67" s="29"/>
      <c r="B67" s="32"/>
      <c r="C67" s="35"/>
      <c r="D67" s="38"/>
      <c r="E67" s="41"/>
      <c r="F67" s="44"/>
      <c r="G67" s="48"/>
      <c r="H67" s="4" t="s">
        <v>25</v>
      </c>
      <c r="I67" s="20">
        <f t="shared" ref="I67:T67" si="27">(I65+I66)/2</f>
        <v>0</v>
      </c>
      <c r="J67" s="7">
        <f t="shared" si="27"/>
        <v>0</v>
      </c>
      <c r="K67" s="7">
        <f t="shared" si="27"/>
        <v>0</v>
      </c>
      <c r="L67" s="7">
        <f t="shared" si="27"/>
        <v>0</v>
      </c>
      <c r="M67" s="7">
        <f t="shared" si="27"/>
        <v>0</v>
      </c>
      <c r="N67" s="7">
        <f t="shared" si="27"/>
        <v>0</v>
      </c>
      <c r="O67" s="7">
        <f t="shared" si="27"/>
        <v>0</v>
      </c>
      <c r="P67" s="7">
        <f t="shared" si="27"/>
        <v>0</v>
      </c>
      <c r="Q67" s="7">
        <f t="shared" si="27"/>
        <v>0</v>
      </c>
      <c r="R67" s="7">
        <f t="shared" si="27"/>
        <v>0</v>
      </c>
      <c r="S67" s="7">
        <f t="shared" si="27"/>
        <v>0</v>
      </c>
      <c r="T67" s="7">
        <f t="shared" si="27"/>
        <v>0</v>
      </c>
      <c r="U67" s="6"/>
      <c r="V67" s="17">
        <f t="shared" si="0"/>
        <v>0</v>
      </c>
      <c r="W67" s="17">
        <f t="shared" si="1"/>
        <v>0</v>
      </c>
      <c r="X67" s="8"/>
    </row>
    <row r="68" spans="1:24" ht="23.25" customHeight="1" thickBot="1" x14ac:dyDescent="0.3">
      <c r="A68" s="30"/>
      <c r="B68" s="33"/>
      <c r="C68" s="36"/>
      <c r="D68" s="39"/>
      <c r="E68" s="52"/>
      <c r="F68" s="45"/>
      <c r="G68" s="50" t="s">
        <v>26</v>
      </c>
      <c r="H68" s="51"/>
      <c r="I68" s="20">
        <f t="shared" ref="I68:T68" si="28">(I64+I67)/2</f>
        <v>3.5825</v>
      </c>
      <c r="J68" s="7">
        <f t="shared" si="28"/>
        <v>5.625</v>
      </c>
      <c r="K68" s="7">
        <f t="shared" si="28"/>
        <v>3.25</v>
      </c>
      <c r="L68" s="7">
        <f t="shared" si="28"/>
        <v>5.0824999999999996</v>
      </c>
      <c r="M68" s="7">
        <f t="shared" si="28"/>
        <v>5.25</v>
      </c>
      <c r="N68" s="7">
        <f t="shared" si="28"/>
        <v>0</v>
      </c>
      <c r="O68" s="7">
        <f t="shared" si="28"/>
        <v>3.79</v>
      </c>
      <c r="P68" s="7">
        <f t="shared" si="28"/>
        <v>0</v>
      </c>
      <c r="Q68" s="7">
        <f t="shared" si="28"/>
        <v>0</v>
      </c>
      <c r="R68" s="7">
        <f t="shared" si="28"/>
        <v>0</v>
      </c>
      <c r="S68" s="7">
        <f t="shared" si="28"/>
        <v>4.0824999999999996</v>
      </c>
      <c r="T68" s="7">
        <f t="shared" si="28"/>
        <v>4.6875</v>
      </c>
      <c r="U68" s="6"/>
      <c r="V68" s="17">
        <f t="shared" si="0"/>
        <v>35.349999999999994</v>
      </c>
      <c r="W68" s="17">
        <f t="shared" si="1"/>
        <v>4.4187499999999993</v>
      </c>
      <c r="X68" s="8"/>
    </row>
    <row r="69" spans="1:24" ht="23.25" customHeight="1" x14ac:dyDescent="0.25">
      <c r="A69" s="28">
        <v>10</v>
      </c>
      <c r="B69" s="31" t="s">
        <v>29</v>
      </c>
      <c r="C69" s="34" t="s">
        <v>28</v>
      </c>
      <c r="D69" s="37" t="s">
        <v>30</v>
      </c>
      <c r="E69" s="40" t="s">
        <v>52</v>
      </c>
      <c r="F69" s="43" t="s">
        <v>33</v>
      </c>
      <c r="G69" s="46" t="s">
        <v>36</v>
      </c>
      <c r="H69" s="3" t="s">
        <v>22</v>
      </c>
      <c r="I69" s="19">
        <v>8.67</v>
      </c>
      <c r="J69" s="6">
        <v>10.33</v>
      </c>
      <c r="K69" s="6">
        <v>8.66</v>
      </c>
      <c r="L69" s="6">
        <v>14</v>
      </c>
      <c r="M69" s="6">
        <v>4.66</v>
      </c>
      <c r="N69" s="6"/>
      <c r="O69" s="6">
        <v>6.33</v>
      </c>
      <c r="P69" s="6"/>
      <c r="Q69" s="6"/>
      <c r="R69" s="6"/>
      <c r="S69" s="6">
        <v>11.83</v>
      </c>
      <c r="T69" s="6">
        <v>5</v>
      </c>
      <c r="U69" s="6"/>
      <c r="V69" s="17">
        <f t="shared" si="0"/>
        <v>69.47999999999999</v>
      </c>
      <c r="W69" s="17">
        <f t="shared" si="1"/>
        <v>8.6849999999999987</v>
      </c>
      <c r="X69" s="8"/>
    </row>
    <row r="70" spans="1:24" ht="23.25" customHeight="1" x14ac:dyDescent="0.25">
      <c r="A70" s="29"/>
      <c r="B70" s="32"/>
      <c r="C70" s="35"/>
      <c r="D70" s="38"/>
      <c r="E70" s="41"/>
      <c r="F70" s="44"/>
      <c r="G70" s="47"/>
      <c r="H70" s="4" t="s">
        <v>23</v>
      </c>
      <c r="I70" s="19">
        <v>5</v>
      </c>
      <c r="J70" s="6">
        <v>7</v>
      </c>
      <c r="K70" s="6">
        <v>6</v>
      </c>
      <c r="L70" s="6">
        <v>6.25</v>
      </c>
      <c r="M70" s="6">
        <v>7</v>
      </c>
      <c r="N70" s="6"/>
      <c r="O70" s="6">
        <v>4</v>
      </c>
      <c r="P70" s="6"/>
      <c r="Q70" s="6"/>
      <c r="R70" s="6"/>
      <c r="S70" s="6">
        <v>5</v>
      </c>
      <c r="T70" s="6">
        <v>9</v>
      </c>
      <c r="U70" s="6"/>
      <c r="V70" s="17">
        <f t="shared" si="0"/>
        <v>49.25</v>
      </c>
      <c r="W70" s="17">
        <f t="shared" si="1"/>
        <v>6.15625</v>
      </c>
      <c r="X70" s="8"/>
    </row>
    <row r="71" spans="1:24" ht="23.25" customHeight="1" x14ac:dyDescent="0.25">
      <c r="A71" s="29"/>
      <c r="B71" s="32"/>
      <c r="C71" s="35"/>
      <c r="D71" s="38"/>
      <c r="E71" s="41"/>
      <c r="F71" s="44"/>
      <c r="G71" s="48"/>
      <c r="H71" s="4" t="s">
        <v>24</v>
      </c>
      <c r="I71" s="20">
        <f t="shared" ref="I71:T71" si="29">(I69+I70)/2</f>
        <v>6.835</v>
      </c>
      <c r="J71" s="7">
        <f t="shared" si="29"/>
        <v>8.6649999999999991</v>
      </c>
      <c r="K71" s="7">
        <f t="shared" si="29"/>
        <v>7.33</v>
      </c>
      <c r="L71" s="7">
        <f t="shared" si="29"/>
        <v>10.125</v>
      </c>
      <c r="M71" s="7">
        <f t="shared" si="29"/>
        <v>5.83</v>
      </c>
      <c r="N71" s="7">
        <f t="shared" si="29"/>
        <v>0</v>
      </c>
      <c r="O71" s="7">
        <f t="shared" si="29"/>
        <v>5.165</v>
      </c>
      <c r="P71" s="7">
        <f t="shared" si="29"/>
        <v>0</v>
      </c>
      <c r="Q71" s="7">
        <f t="shared" si="29"/>
        <v>0</v>
      </c>
      <c r="R71" s="7">
        <f t="shared" si="29"/>
        <v>0</v>
      </c>
      <c r="S71" s="7">
        <f t="shared" si="29"/>
        <v>8.4149999999999991</v>
      </c>
      <c r="T71" s="7">
        <f t="shared" si="29"/>
        <v>7</v>
      </c>
      <c r="U71" s="6"/>
      <c r="V71" s="17">
        <f t="shared" ref="V71:V134" si="30">(I71+J71+K71+L71+M71+N71+O71+P71+Q71+S71+T71)</f>
        <v>59.364999999999995</v>
      </c>
      <c r="W71" s="17">
        <f t="shared" ref="W71:W134" si="31">(V71)/8</f>
        <v>7.4206249999999994</v>
      </c>
      <c r="X71" s="8"/>
    </row>
    <row r="72" spans="1:24" ht="23.25" customHeight="1" x14ac:dyDescent="0.25">
      <c r="A72" s="29"/>
      <c r="B72" s="32"/>
      <c r="C72" s="35"/>
      <c r="D72" s="38"/>
      <c r="E72" s="41"/>
      <c r="F72" s="44"/>
      <c r="G72" s="49" t="s">
        <v>37</v>
      </c>
      <c r="H72" s="4" t="s">
        <v>22</v>
      </c>
      <c r="I72" s="19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17">
        <f t="shared" si="30"/>
        <v>0</v>
      </c>
      <c r="W72" s="17">
        <f t="shared" si="31"/>
        <v>0</v>
      </c>
      <c r="X72" s="8"/>
    </row>
    <row r="73" spans="1:24" ht="23.25" customHeight="1" x14ac:dyDescent="0.25">
      <c r="A73" s="29"/>
      <c r="B73" s="32"/>
      <c r="C73" s="35"/>
      <c r="D73" s="38"/>
      <c r="E73" s="41"/>
      <c r="F73" s="44"/>
      <c r="G73" s="47"/>
      <c r="H73" s="4" t="s">
        <v>23</v>
      </c>
      <c r="I73" s="19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17">
        <f t="shared" si="30"/>
        <v>0</v>
      </c>
      <c r="W73" s="17">
        <f t="shared" si="31"/>
        <v>0</v>
      </c>
      <c r="X73" s="8"/>
    </row>
    <row r="74" spans="1:24" ht="23.25" customHeight="1" x14ac:dyDescent="0.25">
      <c r="A74" s="29"/>
      <c r="B74" s="32"/>
      <c r="C74" s="35"/>
      <c r="D74" s="38"/>
      <c r="E74" s="41"/>
      <c r="F74" s="44"/>
      <c r="G74" s="48"/>
      <c r="H74" s="4" t="s">
        <v>25</v>
      </c>
      <c r="I74" s="20">
        <f t="shared" ref="I74:T74" si="32">(I72+I73)/2</f>
        <v>0</v>
      </c>
      <c r="J74" s="7">
        <f t="shared" si="32"/>
        <v>0</v>
      </c>
      <c r="K74" s="7">
        <f t="shared" si="32"/>
        <v>0</v>
      </c>
      <c r="L74" s="7">
        <f t="shared" si="32"/>
        <v>0</v>
      </c>
      <c r="M74" s="7">
        <f t="shared" si="32"/>
        <v>0</v>
      </c>
      <c r="N74" s="7">
        <f t="shared" si="32"/>
        <v>0</v>
      </c>
      <c r="O74" s="7">
        <f t="shared" si="32"/>
        <v>0</v>
      </c>
      <c r="P74" s="7">
        <f t="shared" si="32"/>
        <v>0</v>
      </c>
      <c r="Q74" s="7">
        <f t="shared" si="32"/>
        <v>0</v>
      </c>
      <c r="R74" s="7">
        <f t="shared" si="32"/>
        <v>0</v>
      </c>
      <c r="S74" s="7">
        <f t="shared" si="32"/>
        <v>0</v>
      </c>
      <c r="T74" s="7">
        <f t="shared" si="32"/>
        <v>0</v>
      </c>
      <c r="U74" s="6"/>
      <c r="V74" s="17">
        <f t="shared" si="30"/>
        <v>0</v>
      </c>
      <c r="W74" s="17">
        <f t="shared" si="31"/>
        <v>0</v>
      </c>
      <c r="X74" s="8"/>
    </row>
    <row r="75" spans="1:24" ht="23.25" customHeight="1" thickBot="1" x14ac:dyDescent="0.3">
      <c r="A75" s="30"/>
      <c r="B75" s="33"/>
      <c r="C75" s="36"/>
      <c r="D75" s="39"/>
      <c r="E75" s="52"/>
      <c r="F75" s="45"/>
      <c r="G75" s="50" t="s">
        <v>26</v>
      </c>
      <c r="H75" s="51"/>
      <c r="I75" s="20">
        <f t="shared" ref="I75:T75" si="33">(I71+I74)/2</f>
        <v>3.4175</v>
      </c>
      <c r="J75" s="7">
        <f t="shared" si="33"/>
        <v>4.3324999999999996</v>
      </c>
      <c r="K75" s="7">
        <f t="shared" si="33"/>
        <v>3.665</v>
      </c>
      <c r="L75" s="7">
        <f t="shared" si="33"/>
        <v>5.0625</v>
      </c>
      <c r="M75" s="7">
        <f t="shared" si="33"/>
        <v>2.915</v>
      </c>
      <c r="N75" s="7">
        <f t="shared" si="33"/>
        <v>0</v>
      </c>
      <c r="O75" s="7">
        <f t="shared" si="33"/>
        <v>2.5825</v>
      </c>
      <c r="P75" s="7">
        <f t="shared" si="33"/>
        <v>0</v>
      </c>
      <c r="Q75" s="7">
        <f t="shared" si="33"/>
        <v>0</v>
      </c>
      <c r="R75" s="7">
        <f t="shared" si="33"/>
        <v>0</v>
      </c>
      <c r="S75" s="7">
        <f t="shared" si="33"/>
        <v>4.2074999999999996</v>
      </c>
      <c r="T75" s="7">
        <f t="shared" si="33"/>
        <v>3.5</v>
      </c>
      <c r="U75" s="6"/>
      <c r="V75" s="17">
        <f t="shared" si="30"/>
        <v>29.682499999999997</v>
      </c>
      <c r="W75" s="17">
        <f t="shared" si="31"/>
        <v>3.7103124999999997</v>
      </c>
      <c r="X75" s="8"/>
    </row>
    <row r="76" spans="1:24" ht="23.25" customHeight="1" x14ac:dyDescent="0.25">
      <c r="A76" s="28">
        <v>11</v>
      </c>
      <c r="B76" s="31" t="s">
        <v>29</v>
      </c>
      <c r="C76" s="34" t="s">
        <v>28</v>
      </c>
      <c r="D76" s="37" t="s">
        <v>30</v>
      </c>
      <c r="E76" s="40" t="s">
        <v>53</v>
      </c>
      <c r="F76" s="43" t="s">
        <v>33</v>
      </c>
      <c r="G76" s="46" t="s">
        <v>36</v>
      </c>
      <c r="H76" s="3" t="s">
        <v>22</v>
      </c>
      <c r="I76" s="19">
        <v>11.33</v>
      </c>
      <c r="J76" s="6">
        <v>10.66</v>
      </c>
      <c r="K76" s="6">
        <v>9.5</v>
      </c>
      <c r="L76" s="6">
        <v>15.33</v>
      </c>
      <c r="M76" s="6">
        <v>14.83</v>
      </c>
      <c r="N76" s="6"/>
      <c r="O76" s="6">
        <v>10</v>
      </c>
      <c r="P76" s="6"/>
      <c r="Q76" s="6"/>
      <c r="R76" s="6"/>
      <c r="S76" s="6">
        <v>9.33</v>
      </c>
      <c r="T76" s="6">
        <v>0</v>
      </c>
      <c r="U76" s="6"/>
      <c r="V76" s="17">
        <f t="shared" si="30"/>
        <v>80.98</v>
      </c>
      <c r="W76" s="17">
        <f t="shared" si="31"/>
        <v>10.1225</v>
      </c>
      <c r="X76" s="8"/>
    </row>
    <row r="77" spans="1:24" ht="23.25" customHeight="1" x14ac:dyDescent="0.25">
      <c r="A77" s="29"/>
      <c r="B77" s="32"/>
      <c r="C77" s="35"/>
      <c r="D77" s="38"/>
      <c r="E77" s="41"/>
      <c r="F77" s="44"/>
      <c r="G77" s="47"/>
      <c r="H77" s="4" t="s">
        <v>23</v>
      </c>
      <c r="I77" s="19">
        <v>5</v>
      </c>
      <c r="J77" s="6">
        <v>10</v>
      </c>
      <c r="K77" s="6">
        <v>0</v>
      </c>
      <c r="L77" s="6">
        <v>6</v>
      </c>
      <c r="M77" s="6">
        <v>12.5</v>
      </c>
      <c r="N77" s="6"/>
      <c r="O77" s="6">
        <v>5</v>
      </c>
      <c r="P77" s="6"/>
      <c r="Q77" s="6"/>
      <c r="R77" s="6"/>
      <c r="S77" s="6">
        <v>5</v>
      </c>
      <c r="T77" s="6">
        <v>12</v>
      </c>
      <c r="U77" s="6"/>
      <c r="V77" s="17">
        <f t="shared" si="30"/>
        <v>55.5</v>
      </c>
      <c r="W77" s="17">
        <f t="shared" si="31"/>
        <v>6.9375</v>
      </c>
      <c r="X77" s="8"/>
    </row>
    <row r="78" spans="1:24" ht="23.25" customHeight="1" x14ac:dyDescent="0.25">
      <c r="A78" s="29"/>
      <c r="B78" s="32"/>
      <c r="C78" s="35"/>
      <c r="D78" s="38"/>
      <c r="E78" s="41"/>
      <c r="F78" s="44"/>
      <c r="G78" s="48"/>
      <c r="H78" s="4" t="s">
        <v>24</v>
      </c>
      <c r="I78" s="20">
        <f t="shared" ref="I78:T78" si="34">(I76+I77)/2</f>
        <v>8.1649999999999991</v>
      </c>
      <c r="J78" s="7">
        <f t="shared" si="34"/>
        <v>10.33</v>
      </c>
      <c r="K78" s="7">
        <f t="shared" si="34"/>
        <v>4.75</v>
      </c>
      <c r="L78" s="7">
        <f t="shared" si="34"/>
        <v>10.664999999999999</v>
      </c>
      <c r="M78" s="7">
        <f t="shared" si="34"/>
        <v>13.664999999999999</v>
      </c>
      <c r="N78" s="7">
        <f t="shared" si="34"/>
        <v>0</v>
      </c>
      <c r="O78" s="7">
        <f t="shared" si="34"/>
        <v>7.5</v>
      </c>
      <c r="P78" s="7">
        <f t="shared" si="34"/>
        <v>0</v>
      </c>
      <c r="Q78" s="7">
        <f t="shared" si="34"/>
        <v>0</v>
      </c>
      <c r="R78" s="7">
        <f t="shared" si="34"/>
        <v>0</v>
      </c>
      <c r="S78" s="7">
        <f t="shared" si="34"/>
        <v>7.165</v>
      </c>
      <c r="T78" s="7">
        <f t="shared" si="34"/>
        <v>6</v>
      </c>
      <c r="U78" s="6"/>
      <c r="V78" s="17">
        <f t="shared" si="30"/>
        <v>68.239999999999995</v>
      </c>
      <c r="W78" s="17">
        <f t="shared" si="31"/>
        <v>8.5299999999999994</v>
      </c>
      <c r="X78" s="8"/>
    </row>
    <row r="79" spans="1:24" ht="23.25" customHeight="1" x14ac:dyDescent="0.25">
      <c r="A79" s="29"/>
      <c r="B79" s="32"/>
      <c r="C79" s="35"/>
      <c r="D79" s="38"/>
      <c r="E79" s="41"/>
      <c r="F79" s="44"/>
      <c r="G79" s="49" t="s">
        <v>37</v>
      </c>
      <c r="H79" s="4" t="s">
        <v>22</v>
      </c>
      <c r="I79" s="19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7">
        <f t="shared" si="30"/>
        <v>0</v>
      </c>
      <c r="W79" s="17">
        <f t="shared" si="31"/>
        <v>0</v>
      </c>
      <c r="X79" s="8"/>
    </row>
    <row r="80" spans="1:24" ht="23.25" customHeight="1" x14ac:dyDescent="0.25">
      <c r="A80" s="29"/>
      <c r="B80" s="32"/>
      <c r="C80" s="35"/>
      <c r="D80" s="38"/>
      <c r="E80" s="41"/>
      <c r="F80" s="44"/>
      <c r="G80" s="47"/>
      <c r="H80" s="4" t="s">
        <v>23</v>
      </c>
      <c r="I80" s="19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7">
        <f t="shared" si="30"/>
        <v>0</v>
      </c>
      <c r="W80" s="17">
        <f t="shared" si="31"/>
        <v>0</v>
      </c>
      <c r="X80" s="8"/>
    </row>
    <row r="81" spans="1:24" ht="23.25" customHeight="1" x14ac:dyDescent="0.25">
      <c r="A81" s="29"/>
      <c r="B81" s="32"/>
      <c r="C81" s="35"/>
      <c r="D81" s="38"/>
      <c r="E81" s="41"/>
      <c r="F81" s="44"/>
      <c r="G81" s="48"/>
      <c r="H81" s="4" t="s">
        <v>25</v>
      </c>
      <c r="I81" s="20">
        <f t="shared" ref="I81:T81" si="35">(I79+I80)/2</f>
        <v>0</v>
      </c>
      <c r="J81" s="7">
        <f t="shared" si="35"/>
        <v>0</v>
      </c>
      <c r="K81" s="7">
        <f t="shared" si="35"/>
        <v>0</v>
      </c>
      <c r="L81" s="7">
        <f t="shared" si="35"/>
        <v>0</v>
      </c>
      <c r="M81" s="7">
        <f t="shared" si="35"/>
        <v>0</v>
      </c>
      <c r="N81" s="7">
        <f t="shared" si="35"/>
        <v>0</v>
      </c>
      <c r="O81" s="7">
        <f t="shared" si="35"/>
        <v>0</v>
      </c>
      <c r="P81" s="7">
        <f t="shared" si="35"/>
        <v>0</v>
      </c>
      <c r="Q81" s="7">
        <f t="shared" si="35"/>
        <v>0</v>
      </c>
      <c r="R81" s="7">
        <f t="shared" si="35"/>
        <v>0</v>
      </c>
      <c r="S81" s="7">
        <f t="shared" si="35"/>
        <v>0</v>
      </c>
      <c r="T81" s="7">
        <f t="shared" si="35"/>
        <v>0</v>
      </c>
      <c r="U81" s="6"/>
      <c r="V81" s="17">
        <f t="shared" si="30"/>
        <v>0</v>
      </c>
      <c r="W81" s="17">
        <f t="shared" si="31"/>
        <v>0</v>
      </c>
      <c r="X81" s="8"/>
    </row>
    <row r="82" spans="1:24" ht="23.25" customHeight="1" thickBot="1" x14ac:dyDescent="0.3">
      <c r="A82" s="30"/>
      <c r="B82" s="33"/>
      <c r="C82" s="36"/>
      <c r="D82" s="39"/>
      <c r="E82" s="52"/>
      <c r="F82" s="45"/>
      <c r="G82" s="50" t="s">
        <v>26</v>
      </c>
      <c r="H82" s="51"/>
      <c r="I82" s="20">
        <f t="shared" ref="I82:T82" si="36">(I78+I81)/2</f>
        <v>4.0824999999999996</v>
      </c>
      <c r="J82" s="7">
        <f t="shared" si="36"/>
        <v>5.165</v>
      </c>
      <c r="K82" s="7">
        <f t="shared" si="36"/>
        <v>2.375</v>
      </c>
      <c r="L82" s="7">
        <f t="shared" si="36"/>
        <v>5.3324999999999996</v>
      </c>
      <c r="M82" s="7">
        <f t="shared" si="36"/>
        <v>6.8324999999999996</v>
      </c>
      <c r="N82" s="7">
        <f t="shared" si="36"/>
        <v>0</v>
      </c>
      <c r="O82" s="7">
        <f t="shared" si="36"/>
        <v>3.75</v>
      </c>
      <c r="P82" s="7">
        <f t="shared" si="36"/>
        <v>0</v>
      </c>
      <c r="Q82" s="7">
        <f t="shared" si="36"/>
        <v>0</v>
      </c>
      <c r="R82" s="7">
        <f t="shared" si="36"/>
        <v>0</v>
      </c>
      <c r="S82" s="7">
        <f t="shared" si="36"/>
        <v>3.5825</v>
      </c>
      <c r="T82" s="7">
        <f t="shared" si="36"/>
        <v>3</v>
      </c>
      <c r="U82" s="6"/>
      <c r="V82" s="17">
        <f t="shared" si="30"/>
        <v>34.119999999999997</v>
      </c>
      <c r="W82" s="17">
        <f t="shared" si="31"/>
        <v>4.2649999999999997</v>
      </c>
      <c r="X82" s="8"/>
    </row>
    <row r="83" spans="1:24" ht="23.25" customHeight="1" x14ac:dyDescent="0.25">
      <c r="A83" s="28">
        <v>12</v>
      </c>
      <c r="B83" s="31" t="s">
        <v>29</v>
      </c>
      <c r="C83" s="34" t="s">
        <v>28</v>
      </c>
      <c r="D83" s="37" t="s">
        <v>30</v>
      </c>
      <c r="E83" s="40" t="s">
        <v>54</v>
      </c>
      <c r="F83" s="43" t="s">
        <v>33</v>
      </c>
      <c r="G83" s="46" t="s">
        <v>36</v>
      </c>
      <c r="H83" s="3" t="s">
        <v>22</v>
      </c>
      <c r="I83" s="19">
        <v>10.67</v>
      </c>
      <c r="J83" s="6">
        <v>10.33</v>
      </c>
      <c r="K83" s="6">
        <v>15</v>
      </c>
      <c r="L83" s="6">
        <v>14</v>
      </c>
      <c r="M83" s="6">
        <v>11.5</v>
      </c>
      <c r="N83" s="6"/>
      <c r="O83" s="6">
        <v>12.16</v>
      </c>
      <c r="P83" s="6"/>
      <c r="Q83" s="6"/>
      <c r="R83" s="6"/>
      <c r="S83" s="6">
        <v>11.33</v>
      </c>
      <c r="T83" s="6">
        <v>12</v>
      </c>
      <c r="U83" s="6"/>
      <c r="V83" s="17">
        <f t="shared" si="30"/>
        <v>96.99</v>
      </c>
      <c r="W83" s="17">
        <f t="shared" si="31"/>
        <v>12.123749999999999</v>
      </c>
      <c r="X83" s="8"/>
    </row>
    <row r="84" spans="1:24" ht="23.25" customHeight="1" x14ac:dyDescent="0.25">
      <c r="A84" s="29"/>
      <c r="B84" s="32"/>
      <c r="C84" s="35"/>
      <c r="D84" s="38"/>
      <c r="E84" s="41"/>
      <c r="F84" s="44"/>
      <c r="G84" s="47"/>
      <c r="H84" s="4" t="s">
        <v>23</v>
      </c>
      <c r="I84" s="19">
        <v>8</v>
      </c>
      <c r="J84" s="6">
        <v>12</v>
      </c>
      <c r="K84" s="6">
        <v>9</v>
      </c>
      <c r="L84" s="6">
        <v>11.75</v>
      </c>
      <c r="M84" s="6">
        <v>13.5</v>
      </c>
      <c r="N84" s="6"/>
      <c r="O84" s="6">
        <v>8</v>
      </c>
      <c r="P84" s="6"/>
      <c r="Q84" s="6"/>
      <c r="R84" s="6"/>
      <c r="S84" s="6">
        <v>6</v>
      </c>
      <c r="T84" s="6">
        <v>6</v>
      </c>
      <c r="U84" s="6"/>
      <c r="V84" s="17">
        <f t="shared" si="30"/>
        <v>74.25</v>
      </c>
      <c r="W84" s="17">
        <f t="shared" si="31"/>
        <v>9.28125</v>
      </c>
      <c r="X84" s="8"/>
    </row>
    <row r="85" spans="1:24" ht="23.25" customHeight="1" x14ac:dyDescent="0.25">
      <c r="A85" s="29"/>
      <c r="B85" s="32"/>
      <c r="C85" s="35"/>
      <c r="D85" s="38"/>
      <c r="E85" s="41"/>
      <c r="F85" s="44"/>
      <c r="G85" s="48"/>
      <c r="H85" s="4" t="s">
        <v>24</v>
      </c>
      <c r="I85" s="20">
        <f t="shared" ref="I85:T85" si="37">(I83+I84)/2</f>
        <v>9.3350000000000009</v>
      </c>
      <c r="J85" s="7">
        <f t="shared" si="37"/>
        <v>11.164999999999999</v>
      </c>
      <c r="K85" s="7">
        <f t="shared" si="37"/>
        <v>12</v>
      </c>
      <c r="L85" s="7">
        <f t="shared" si="37"/>
        <v>12.875</v>
      </c>
      <c r="M85" s="7">
        <f t="shared" si="37"/>
        <v>12.5</v>
      </c>
      <c r="N85" s="7">
        <f t="shared" si="37"/>
        <v>0</v>
      </c>
      <c r="O85" s="7">
        <f t="shared" si="37"/>
        <v>10.08</v>
      </c>
      <c r="P85" s="7">
        <f t="shared" si="37"/>
        <v>0</v>
      </c>
      <c r="Q85" s="7">
        <f t="shared" si="37"/>
        <v>0</v>
      </c>
      <c r="R85" s="7">
        <f t="shared" si="37"/>
        <v>0</v>
      </c>
      <c r="S85" s="7">
        <f t="shared" si="37"/>
        <v>8.6649999999999991</v>
      </c>
      <c r="T85" s="7">
        <f t="shared" si="37"/>
        <v>9</v>
      </c>
      <c r="U85" s="6"/>
      <c r="V85" s="17">
        <f t="shared" si="30"/>
        <v>85.62</v>
      </c>
      <c r="W85" s="17">
        <f t="shared" si="31"/>
        <v>10.702500000000001</v>
      </c>
      <c r="X85" s="8"/>
    </row>
    <row r="86" spans="1:24" ht="23.25" customHeight="1" x14ac:dyDescent="0.25">
      <c r="A86" s="29"/>
      <c r="B86" s="32"/>
      <c r="C86" s="35"/>
      <c r="D86" s="38"/>
      <c r="E86" s="41"/>
      <c r="F86" s="44"/>
      <c r="G86" s="49" t="s">
        <v>37</v>
      </c>
      <c r="H86" s="4" t="s">
        <v>22</v>
      </c>
      <c r="I86" s="19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7">
        <f t="shared" si="30"/>
        <v>0</v>
      </c>
      <c r="W86" s="17">
        <f t="shared" si="31"/>
        <v>0</v>
      </c>
      <c r="X86" s="8"/>
    </row>
    <row r="87" spans="1:24" ht="23.25" customHeight="1" x14ac:dyDescent="0.25">
      <c r="A87" s="29"/>
      <c r="B87" s="32"/>
      <c r="C87" s="35"/>
      <c r="D87" s="38"/>
      <c r="E87" s="41"/>
      <c r="F87" s="44"/>
      <c r="G87" s="47"/>
      <c r="H87" s="4" t="s">
        <v>23</v>
      </c>
      <c r="I87" s="19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7">
        <f t="shared" si="30"/>
        <v>0</v>
      </c>
      <c r="W87" s="17">
        <f t="shared" si="31"/>
        <v>0</v>
      </c>
      <c r="X87" s="8"/>
    </row>
    <row r="88" spans="1:24" ht="23.25" customHeight="1" x14ac:dyDescent="0.25">
      <c r="A88" s="29"/>
      <c r="B88" s="32"/>
      <c r="C88" s="35"/>
      <c r="D88" s="38"/>
      <c r="E88" s="41"/>
      <c r="F88" s="44"/>
      <c r="G88" s="48"/>
      <c r="H88" s="4" t="s">
        <v>25</v>
      </c>
      <c r="I88" s="20">
        <f t="shared" ref="I88:T88" si="38">(I86+I87)/2</f>
        <v>0</v>
      </c>
      <c r="J88" s="7">
        <f t="shared" si="38"/>
        <v>0</v>
      </c>
      <c r="K88" s="7">
        <f t="shared" si="38"/>
        <v>0</v>
      </c>
      <c r="L88" s="7">
        <f t="shared" si="38"/>
        <v>0</v>
      </c>
      <c r="M88" s="7">
        <f t="shared" si="38"/>
        <v>0</v>
      </c>
      <c r="N88" s="7">
        <f t="shared" si="38"/>
        <v>0</v>
      </c>
      <c r="O88" s="7">
        <f t="shared" si="38"/>
        <v>0</v>
      </c>
      <c r="P88" s="7">
        <f t="shared" si="38"/>
        <v>0</v>
      </c>
      <c r="Q88" s="7">
        <f t="shared" si="38"/>
        <v>0</v>
      </c>
      <c r="R88" s="7">
        <f t="shared" si="38"/>
        <v>0</v>
      </c>
      <c r="S88" s="7">
        <f t="shared" si="38"/>
        <v>0</v>
      </c>
      <c r="T88" s="7">
        <f t="shared" si="38"/>
        <v>0</v>
      </c>
      <c r="U88" s="6"/>
      <c r="V88" s="17">
        <f t="shared" si="30"/>
        <v>0</v>
      </c>
      <c r="W88" s="17">
        <f t="shared" si="31"/>
        <v>0</v>
      </c>
      <c r="X88" s="8"/>
    </row>
    <row r="89" spans="1:24" ht="23.25" customHeight="1" thickBot="1" x14ac:dyDescent="0.3">
      <c r="A89" s="30"/>
      <c r="B89" s="33"/>
      <c r="C89" s="36"/>
      <c r="D89" s="39"/>
      <c r="E89" s="52"/>
      <c r="F89" s="45"/>
      <c r="G89" s="50" t="s">
        <v>26</v>
      </c>
      <c r="H89" s="51"/>
      <c r="I89" s="20">
        <f t="shared" ref="I89:T89" si="39">(I85+I88)/2</f>
        <v>4.6675000000000004</v>
      </c>
      <c r="J89" s="7">
        <f t="shared" si="39"/>
        <v>5.5824999999999996</v>
      </c>
      <c r="K89" s="7">
        <f t="shared" si="39"/>
        <v>6</v>
      </c>
      <c r="L89" s="7">
        <f t="shared" si="39"/>
        <v>6.4375</v>
      </c>
      <c r="M89" s="7">
        <f t="shared" si="39"/>
        <v>6.25</v>
      </c>
      <c r="N89" s="7">
        <f t="shared" si="39"/>
        <v>0</v>
      </c>
      <c r="O89" s="7">
        <f t="shared" si="39"/>
        <v>5.04</v>
      </c>
      <c r="P89" s="7">
        <f t="shared" si="39"/>
        <v>0</v>
      </c>
      <c r="Q89" s="7">
        <f t="shared" si="39"/>
        <v>0</v>
      </c>
      <c r="R89" s="7">
        <f t="shared" si="39"/>
        <v>0</v>
      </c>
      <c r="S89" s="7">
        <f t="shared" si="39"/>
        <v>4.3324999999999996</v>
      </c>
      <c r="T89" s="7">
        <f t="shared" si="39"/>
        <v>4.5</v>
      </c>
      <c r="U89" s="6"/>
      <c r="V89" s="17">
        <f t="shared" si="30"/>
        <v>42.81</v>
      </c>
      <c r="W89" s="17">
        <f t="shared" si="31"/>
        <v>5.3512500000000003</v>
      </c>
      <c r="X89" s="8"/>
    </row>
    <row r="90" spans="1:24" ht="23.25" customHeight="1" x14ac:dyDescent="0.25">
      <c r="A90" s="28">
        <v>13</v>
      </c>
      <c r="B90" s="31" t="s">
        <v>29</v>
      </c>
      <c r="C90" s="34" t="s">
        <v>28</v>
      </c>
      <c r="D90" s="37" t="s">
        <v>30</v>
      </c>
      <c r="E90" s="40" t="s">
        <v>55</v>
      </c>
      <c r="F90" s="43" t="s">
        <v>32</v>
      </c>
      <c r="G90" s="46" t="s">
        <v>36</v>
      </c>
      <c r="H90" s="3" t="s">
        <v>22</v>
      </c>
      <c r="I90" s="19">
        <v>11.67</v>
      </c>
      <c r="J90" s="6">
        <v>12</v>
      </c>
      <c r="K90" s="6">
        <v>13</v>
      </c>
      <c r="L90" s="6">
        <v>15.75</v>
      </c>
      <c r="M90" s="6">
        <v>13.33</v>
      </c>
      <c r="N90" s="6"/>
      <c r="O90" s="6">
        <v>10</v>
      </c>
      <c r="P90" s="6"/>
      <c r="Q90" s="6"/>
      <c r="R90" s="6"/>
      <c r="S90" s="6">
        <v>12.66</v>
      </c>
      <c r="T90" s="6">
        <v>13</v>
      </c>
      <c r="U90" s="6"/>
      <c r="V90" s="17">
        <f t="shared" si="30"/>
        <v>101.41</v>
      </c>
      <c r="W90" s="17">
        <f t="shared" si="31"/>
        <v>12.67625</v>
      </c>
      <c r="X90" s="8"/>
    </row>
    <row r="91" spans="1:24" ht="23.25" customHeight="1" x14ac:dyDescent="0.25">
      <c r="A91" s="29"/>
      <c r="B91" s="32"/>
      <c r="C91" s="35"/>
      <c r="D91" s="38"/>
      <c r="E91" s="41"/>
      <c r="F91" s="44"/>
      <c r="G91" s="47"/>
      <c r="H91" s="4" t="s">
        <v>23</v>
      </c>
      <c r="I91" s="19">
        <v>11</v>
      </c>
      <c r="J91" s="6">
        <v>12.75</v>
      </c>
      <c r="K91" s="6">
        <v>10</v>
      </c>
      <c r="L91" s="6">
        <v>10.75</v>
      </c>
      <c r="M91" s="6">
        <v>8</v>
      </c>
      <c r="N91" s="6"/>
      <c r="O91" s="6">
        <v>10</v>
      </c>
      <c r="P91" s="6"/>
      <c r="Q91" s="6"/>
      <c r="R91" s="6"/>
      <c r="S91" s="6">
        <v>11</v>
      </c>
      <c r="T91" s="6">
        <v>2</v>
      </c>
      <c r="U91" s="6"/>
      <c r="V91" s="17">
        <f t="shared" si="30"/>
        <v>75.5</v>
      </c>
      <c r="W91" s="17">
        <f t="shared" si="31"/>
        <v>9.4375</v>
      </c>
      <c r="X91" s="8"/>
    </row>
    <row r="92" spans="1:24" ht="23.25" customHeight="1" x14ac:dyDescent="0.25">
      <c r="A92" s="29"/>
      <c r="B92" s="32"/>
      <c r="C92" s="35"/>
      <c r="D92" s="38"/>
      <c r="E92" s="41"/>
      <c r="F92" s="44"/>
      <c r="G92" s="48"/>
      <c r="H92" s="4" t="s">
        <v>24</v>
      </c>
      <c r="I92" s="20">
        <f t="shared" ref="I92:T92" si="40">(I90+I91)/2</f>
        <v>11.335000000000001</v>
      </c>
      <c r="J92" s="7">
        <f t="shared" si="40"/>
        <v>12.375</v>
      </c>
      <c r="K92" s="7">
        <f t="shared" si="40"/>
        <v>11.5</v>
      </c>
      <c r="L92" s="7">
        <f t="shared" si="40"/>
        <v>13.25</v>
      </c>
      <c r="M92" s="7">
        <f t="shared" si="40"/>
        <v>10.664999999999999</v>
      </c>
      <c r="N92" s="7">
        <f t="shared" si="40"/>
        <v>0</v>
      </c>
      <c r="O92" s="7">
        <f t="shared" si="40"/>
        <v>10</v>
      </c>
      <c r="P92" s="7">
        <f t="shared" si="40"/>
        <v>0</v>
      </c>
      <c r="Q92" s="7">
        <f t="shared" si="40"/>
        <v>0</v>
      </c>
      <c r="R92" s="7">
        <f t="shared" si="40"/>
        <v>0</v>
      </c>
      <c r="S92" s="7">
        <f t="shared" si="40"/>
        <v>11.83</v>
      </c>
      <c r="T92" s="7">
        <f t="shared" si="40"/>
        <v>7.5</v>
      </c>
      <c r="U92" s="6"/>
      <c r="V92" s="17">
        <f t="shared" si="30"/>
        <v>88.454999999999998</v>
      </c>
      <c r="W92" s="17">
        <f t="shared" si="31"/>
        <v>11.056875</v>
      </c>
      <c r="X92" s="8"/>
    </row>
    <row r="93" spans="1:24" ht="23.25" customHeight="1" x14ac:dyDescent="0.25">
      <c r="A93" s="29"/>
      <c r="B93" s="32"/>
      <c r="C93" s="35"/>
      <c r="D93" s="38"/>
      <c r="E93" s="41"/>
      <c r="F93" s="44"/>
      <c r="G93" s="49" t="s">
        <v>37</v>
      </c>
      <c r="H93" s="4" t="s">
        <v>22</v>
      </c>
      <c r="I93" s="19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7">
        <f t="shared" si="30"/>
        <v>0</v>
      </c>
      <c r="W93" s="17">
        <f t="shared" si="31"/>
        <v>0</v>
      </c>
      <c r="X93" s="8"/>
    </row>
    <row r="94" spans="1:24" ht="23.25" customHeight="1" x14ac:dyDescent="0.25">
      <c r="A94" s="29"/>
      <c r="B94" s="32"/>
      <c r="C94" s="35"/>
      <c r="D94" s="38"/>
      <c r="E94" s="41"/>
      <c r="F94" s="44"/>
      <c r="G94" s="47"/>
      <c r="H94" s="4" t="s">
        <v>23</v>
      </c>
      <c r="I94" s="19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7">
        <f t="shared" si="30"/>
        <v>0</v>
      </c>
      <c r="W94" s="17">
        <f t="shared" si="31"/>
        <v>0</v>
      </c>
      <c r="X94" s="8"/>
    </row>
    <row r="95" spans="1:24" ht="23.25" customHeight="1" x14ac:dyDescent="0.25">
      <c r="A95" s="29"/>
      <c r="B95" s="32"/>
      <c r="C95" s="35"/>
      <c r="D95" s="38"/>
      <c r="E95" s="41"/>
      <c r="F95" s="44"/>
      <c r="G95" s="48"/>
      <c r="H95" s="4" t="s">
        <v>25</v>
      </c>
      <c r="I95" s="20">
        <f t="shared" ref="I95:T95" si="41">(I93+I94)/2</f>
        <v>0</v>
      </c>
      <c r="J95" s="7">
        <f t="shared" si="41"/>
        <v>0</v>
      </c>
      <c r="K95" s="7">
        <f t="shared" si="41"/>
        <v>0</v>
      </c>
      <c r="L95" s="7">
        <f t="shared" si="41"/>
        <v>0</v>
      </c>
      <c r="M95" s="7">
        <f t="shared" si="41"/>
        <v>0</v>
      </c>
      <c r="N95" s="7">
        <f t="shared" si="41"/>
        <v>0</v>
      </c>
      <c r="O95" s="7">
        <f t="shared" si="41"/>
        <v>0</v>
      </c>
      <c r="P95" s="7">
        <f t="shared" si="41"/>
        <v>0</v>
      </c>
      <c r="Q95" s="7">
        <f t="shared" si="41"/>
        <v>0</v>
      </c>
      <c r="R95" s="7">
        <f t="shared" si="41"/>
        <v>0</v>
      </c>
      <c r="S95" s="7">
        <f t="shared" si="41"/>
        <v>0</v>
      </c>
      <c r="T95" s="7">
        <f t="shared" si="41"/>
        <v>0</v>
      </c>
      <c r="U95" s="6"/>
      <c r="V95" s="17">
        <f t="shared" si="30"/>
        <v>0</v>
      </c>
      <c r="W95" s="17">
        <f t="shared" si="31"/>
        <v>0</v>
      </c>
      <c r="X95" s="8"/>
    </row>
    <row r="96" spans="1:24" ht="23.25" customHeight="1" thickBot="1" x14ac:dyDescent="0.3">
      <c r="A96" s="30"/>
      <c r="B96" s="33"/>
      <c r="C96" s="36"/>
      <c r="D96" s="39"/>
      <c r="E96" s="52"/>
      <c r="F96" s="45"/>
      <c r="G96" s="50" t="s">
        <v>26</v>
      </c>
      <c r="H96" s="51"/>
      <c r="I96" s="20">
        <f t="shared" ref="I96:T96" si="42">(I92+I95)/2</f>
        <v>5.6675000000000004</v>
      </c>
      <c r="J96" s="7">
        <f t="shared" si="42"/>
        <v>6.1875</v>
      </c>
      <c r="K96" s="7">
        <f t="shared" si="42"/>
        <v>5.75</v>
      </c>
      <c r="L96" s="7">
        <f t="shared" si="42"/>
        <v>6.625</v>
      </c>
      <c r="M96" s="7">
        <f t="shared" si="42"/>
        <v>5.3324999999999996</v>
      </c>
      <c r="N96" s="7">
        <f t="shared" si="42"/>
        <v>0</v>
      </c>
      <c r="O96" s="7">
        <f t="shared" si="42"/>
        <v>5</v>
      </c>
      <c r="P96" s="7">
        <f t="shared" si="42"/>
        <v>0</v>
      </c>
      <c r="Q96" s="7">
        <f t="shared" si="42"/>
        <v>0</v>
      </c>
      <c r="R96" s="7">
        <f t="shared" si="42"/>
        <v>0</v>
      </c>
      <c r="S96" s="7">
        <f t="shared" si="42"/>
        <v>5.915</v>
      </c>
      <c r="T96" s="7">
        <f t="shared" si="42"/>
        <v>3.75</v>
      </c>
      <c r="U96" s="6"/>
      <c r="V96" s="17">
        <f t="shared" si="30"/>
        <v>44.227499999999999</v>
      </c>
      <c r="W96" s="17">
        <f t="shared" si="31"/>
        <v>5.5284374999999999</v>
      </c>
      <c r="X96" s="8"/>
    </row>
    <row r="97" spans="1:24" ht="23.25" customHeight="1" x14ac:dyDescent="0.25">
      <c r="A97" s="28">
        <v>14</v>
      </c>
      <c r="B97" s="31" t="s">
        <v>29</v>
      </c>
      <c r="C97" s="34" t="s">
        <v>28</v>
      </c>
      <c r="D97" s="37" t="s">
        <v>30</v>
      </c>
      <c r="E97" s="40" t="s">
        <v>56</v>
      </c>
      <c r="F97" s="43" t="s">
        <v>32</v>
      </c>
      <c r="G97" s="46" t="s">
        <v>36</v>
      </c>
      <c r="H97" s="3" t="s">
        <v>22</v>
      </c>
      <c r="I97" s="19">
        <v>9.33</v>
      </c>
      <c r="J97" s="6">
        <v>12</v>
      </c>
      <c r="K97" s="6">
        <v>9</v>
      </c>
      <c r="L97" s="6">
        <v>15.33</v>
      </c>
      <c r="M97" s="6">
        <v>11.33</v>
      </c>
      <c r="N97" s="6"/>
      <c r="O97" s="6">
        <v>10</v>
      </c>
      <c r="P97" s="6"/>
      <c r="Q97" s="6"/>
      <c r="R97" s="6"/>
      <c r="S97" s="6">
        <v>13</v>
      </c>
      <c r="T97" s="6">
        <v>0</v>
      </c>
      <c r="U97" s="6"/>
      <c r="V97" s="17">
        <f t="shared" si="30"/>
        <v>79.989999999999995</v>
      </c>
      <c r="W97" s="17">
        <f t="shared" si="31"/>
        <v>9.9987499999999994</v>
      </c>
      <c r="X97" s="8"/>
    </row>
    <row r="98" spans="1:24" ht="23.25" customHeight="1" x14ac:dyDescent="0.25">
      <c r="A98" s="29"/>
      <c r="B98" s="32"/>
      <c r="C98" s="35"/>
      <c r="D98" s="38"/>
      <c r="E98" s="41"/>
      <c r="F98" s="44"/>
      <c r="G98" s="47"/>
      <c r="H98" s="4" t="s">
        <v>23</v>
      </c>
      <c r="I98" s="19">
        <v>6</v>
      </c>
      <c r="J98" s="6">
        <v>12.76</v>
      </c>
      <c r="K98" s="6">
        <v>6</v>
      </c>
      <c r="L98" s="6">
        <v>7.5</v>
      </c>
      <c r="M98" s="6">
        <v>10</v>
      </c>
      <c r="N98" s="6"/>
      <c r="O98" s="6">
        <v>8</v>
      </c>
      <c r="P98" s="6"/>
      <c r="Q98" s="6"/>
      <c r="R98" s="6"/>
      <c r="S98" s="6">
        <v>7</v>
      </c>
      <c r="T98" s="6">
        <v>13</v>
      </c>
      <c r="U98" s="6"/>
      <c r="V98" s="17">
        <f t="shared" si="30"/>
        <v>70.259999999999991</v>
      </c>
      <c r="W98" s="17">
        <f t="shared" si="31"/>
        <v>8.7824999999999989</v>
      </c>
      <c r="X98" s="8"/>
    </row>
    <row r="99" spans="1:24" ht="23.25" customHeight="1" x14ac:dyDescent="0.25">
      <c r="A99" s="29"/>
      <c r="B99" s="32"/>
      <c r="C99" s="35"/>
      <c r="D99" s="38"/>
      <c r="E99" s="41"/>
      <c r="F99" s="44"/>
      <c r="G99" s="48"/>
      <c r="H99" s="4" t="s">
        <v>24</v>
      </c>
      <c r="I99" s="20">
        <f t="shared" ref="I99:T99" si="43">(I97+I98)/2</f>
        <v>7.665</v>
      </c>
      <c r="J99" s="7">
        <f t="shared" si="43"/>
        <v>12.379999999999999</v>
      </c>
      <c r="K99" s="7">
        <f t="shared" si="43"/>
        <v>7.5</v>
      </c>
      <c r="L99" s="7">
        <f t="shared" si="43"/>
        <v>11.414999999999999</v>
      </c>
      <c r="M99" s="7">
        <f t="shared" si="43"/>
        <v>10.664999999999999</v>
      </c>
      <c r="N99" s="7">
        <f t="shared" si="43"/>
        <v>0</v>
      </c>
      <c r="O99" s="7">
        <f t="shared" si="43"/>
        <v>9</v>
      </c>
      <c r="P99" s="7">
        <f t="shared" si="43"/>
        <v>0</v>
      </c>
      <c r="Q99" s="7">
        <f t="shared" si="43"/>
        <v>0</v>
      </c>
      <c r="R99" s="7">
        <f t="shared" si="43"/>
        <v>0</v>
      </c>
      <c r="S99" s="7">
        <f t="shared" si="43"/>
        <v>10</v>
      </c>
      <c r="T99" s="7">
        <f t="shared" si="43"/>
        <v>6.5</v>
      </c>
      <c r="U99" s="6"/>
      <c r="V99" s="17">
        <f t="shared" si="30"/>
        <v>75.125</v>
      </c>
      <c r="W99" s="17">
        <f t="shared" si="31"/>
        <v>9.390625</v>
      </c>
      <c r="X99" s="8"/>
    </row>
    <row r="100" spans="1:24" ht="23.25" customHeight="1" x14ac:dyDescent="0.25">
      <c r="A100" s="29"/>
      <c r="B100" s="32"/>
      <c r="C100" s="35"/>
      <c r="D100" s="38"/>
      <c r="E100" s="41"/>
      <c r="F100" s="44"/>
      <c r="G100" s="49" t="s">
        <v>37</v>
      </c>
      <c r="H100" s="4" t="s">
        <v>22</v>
      </c>
      <c r="I100" s="19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7">
        <f t="shared" si="30"/>
        <v>0</v>
      </c>
      <c r="W100" s="17">
        <f t="shared" si="31"/>
        <v>0</v>
      </c>
      <c r="X100" s="8"/>
    </row>
    <row r="101" spans="1:24" ht="23.25" customHeight="1" x14ac:dyDescent="0.25">
      <c r="A101" s="29"/>
      <c r="B101" s="32"/>
      <c r="C101" s="35"/>
      <c r="D101" s="38"/>
      <c r="E101" s="41"/>
      <c r="F101" s="44"/>
      <c r="G101" s="47"/>
      <c r="H101" s="4" t="s">
        <v>23</v>
      </c>
      <c r="I101" s="19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7">
        <f t="shared" si="30"/>
        <v>0</v>
      </c>
      <c r="W101" s="17">
        <f t="shared" si="31"/>
        <v>0</v>
      </c>
      <c r="X101" s="8"/>
    </row>
    <row r="102" spans="1:24" ht="23.25" customHeight="1" x14ac:dyDescent="0.25">
      <c r="A102" s="29"/>
      <c r="B102" s="32"/>
      <c r="C102" s="35"/>
      <c r="D102" s="38"/>
      <c r="E102" s="41"/>
      <c r="F102" s="44"/>
      <c r="G102" s="48"/>
      <c r="H102" s="4" t="s">
        <v>25</v>
      </c>
      <c r="I102" s="20">
        <f t="shared" ref="I102:T102" si="44">(I100+I101)/2</f>
        <v>0</v>
      </c>
      <c r="J102" s="7">
        <f t="shared" si="44"/>
        <v>0</v>
      </c>
      <c r="K102" s="7">
        <f t="shared" si="44"/>
        <v>0</v>
      </c>
      <c r="L102" s="7">
        <f t="shared" si="44"/>
        <v>0</v>
      </c>
      <c r="M102" s="7">
        <f t="shared" si="44"/>
        <v>0</v>
      </c>
      <c r="N102" s="7">
        <f t="shared" si="44"/>
        <v>0</v>
      </c>
      <c r="O102" s="7">
        <f t="shared" si="44"/>
        <v>0</v>
      </c>
      <c r="P102" s="7">
        <f t="shared" si="44"/>
        <v>0</v>
      </c>
      <c r="Q102" s="7">
        <f t="shared" si="44"/>
        <v>0</v>
      </c>
      <c r="R102" s="7">
        <f t="shared" si="44"/>
        <v>0</v>
      </c>
      <c r="S102" s="7">
        <f t="shared" si="44"/>
        <v>0</v>
      </c>
      <c r="T102" s="7">
        <f t="shared" si="44"/>
        <v>0</v>
      </c>
      <c r="U102" s="6"/>
      <c r="V102" s="17">
        <f t="shared" si="30"/>
        <v>0</v>
      </c>
      <c r="W102" s="17">
        <f t="shared" si="31"/>
        <v>0</v>
      </c>
      <c r="X102" s="8"/>
    </row>
    <row r="103" spans="1:24" ht="23.25" customHeight="1" thickBot="1" x14ac:dyDescent="0.3">
      <c r="A103" s="30"/>
      <c r="B103" s="33"/>
      <c r="C103" s="36"/>
      <c r="D103" s="39"/>
      <c r="E103" s="52"/>
      <c r="F103" s="45"/>
      <c r="G103" s="50" t="s">
        <v>26</v>
      </c>
      <c r="H103" s="51"/>
      <c r="I103" s="20">
        <f t="shared" ref="I103:T103" si="45">(I99+I102)/2</f>
        <v>3.8325</v>
      </c>
      <c r="J103" s="7">
        <f t="shared" si="45"/>
        <v>6.1899999999999995</v>
      </c>
      <c r="K103" s="7">
        <f t="shared" si="45"/>
        <v>3.75</v>
      </c>
      <c r="L103" s="7">
        <f t="shared" si="45"/>
        <v>5.7074999999999996</v>
      </c>
      <c r="M103" s="7">
        <f t="shared" si="45"/>
        <v>5.3324999999999996</v>
      </c>
      <c r="N103" s="7">
        <f t="shared" si="45"/>
        <v>0</v>
      </c>
      <c r="O103" s="7">
        <f t="shared" si="45"/>
        <v>4.5</v>
      </c>
      <c r="P103" s="7">
        <f t="shared" si="45"/>
        <v>0</v>
      </c>
      <c r="Q103" s="7">
        <f t="shared" si="45"/>
        <v>0</v>
      </c>
      <c r="R103" s="7">
        <f t="shared" si="45"/>
        <v>0</v>
      </c>
      <c r="S103" s="7">
        <f t="shared" si="45"/>
        <v>5</v>
      </c>
      <c r="T103" s="7">
        <f t="shared" si="45"/>
        <v>3.25</v>
      </c>
      <c r="U103" s="6"/>
      <c r="V103" s="17">
        <f t="shared" si="30"/>
        <v>37.5625</v>
      </c>
      <c r="W103" s="17">
        <f t="shared" si="31"/>
        <v>4.6953125</v>
      </c>
      <c r="X103" s="8"/>
    </row>
    <row r="104" spans="1:24" ht="23.25" customHeight="1" x14ac:dyDescent="0.25">
      <c r="A104" s="28">
        <v>15</v>
      </c>
      <c r="B104" s="31" t="s">
        <v>29</v>
      </c>
      <c r="C104" s="34" t="s">
        <v>28</v>
      </c>
      <c r="D104" s="37" t="s">
        <v>30</v>
      </c>
      <c r="E104" s="40" t="s">
        <v>57</v>
      </c>
      <c r="F104" s="43" t="s">
        <v>33</v>
      </c>
      <c r="G104" s="46" t="s">
        <v>36</v>
      </c>
      <c r="H104" s="3" t="s">
        <v>22</v>
      </c>
      <c r="I104" s="19">
        <v>10</v>
      </c>
      <c r="J104" s="6">
        <v>11.66</v>
      </c>
      <c r="K104" s="6">
        <v>10</v>
      </c>
      <c r="L104" s="6">
        <v>15</v>
      </c>
      <c r="M104" s="6">
        <v>9</v>
      </c>
      <c r="N104" s="6"/>
      <c r="O104" s="6">
        <v>11.83</v>
      </c>
      <c r="P104" s="6"/>
      <c r="Q104" s="6"/>
      <c r="R104" s="6"/>
      <c r="S104" s="6">
        <v>12.66</v>
      </c>
      <c r="T104" s="6">
        <v>11</v>
      </c>
      <c r="U104" s="6"/>
      <c r="V104" s="17">
        <f t="shared" si="30"/>
        <v>91.149999999999991</v>
      </c>
      <c r="W104" s="17">
        <f t="shared" si="31"/>
        <v>11.393749999999999</v>
      </c>
      <c r="X104" s="8"/>
    </row>
    <row r="105" spans="1:24" ht="23.25" customHeight="1" x14ac:dyDescent="0.25">
      <c r="A105" s="29"/>
      <c r="B105" s="32"/>
      <c r="C105" s="35"/>
      <c r="D105" s="38"/>
      <c r="E105" s="41"/>
      <c r="F105" s="44"/>
      <c r="G105" s="47"/>
      <c r="H105" s="4" t="s">
        <v>23</v>
      </c>
      <c r="I105" s="19">
        <v>5</v>
      </c>
      <c r="J105" s="6">
        <v>8</v>
      </c>
      <c r="K105" s="6">
        <v>6</v>
      </c>
      <c r="L105" s="6">
        <v>8</v>
      </c>
      <c r="M105" s="6">
        <v>15</v>
      </c>
      <c r="N105" s="6"/>
      <c r="O105" s="6">
        <v>5</v>
      </c>
      <c r="P105" s="6"/>
      <c r="Q105" s="6"/>
      <c r="R105" s="6"/>
      <c r="S105" s="6">
        <v>6</v>
      </c>
      <c r="T105" s="6">
        <v>6</v>
      </c>
      <c r="U105" s="6"/>
      <c r="V105" s="17">
        <f t="shared" si="30"/>
        <v>59</v>
      </c>
      <c r="W105" s="17">
        <f t="shared" si="31"/>
        <v>7.375</v>
      </c>
      <c r="X105" s="8"/>
    </row>
    <row r="106" spans="1:24" ht="23.25" customHeight="1" x14ac:dyDescent="0.25">
      <c r="A106" s="29"/>
      <c r="B106" s="32"/>
      <c r="C106" s="35"/>
      <c r="D106" s="38"/>
      <c r="E106" s="41"/>
      <c r="F106" s="44"/>
      <c r="G106" s="48"/>
      <c r="H106" s="4" t="s">
        <v>24</v>
      </c>
      <c r="I106" s="20">
        <f t="shared" ref="I106:T106" si="46">(I104+I105)/2</f>
        <v>7.5</v>
      </c>
      <c r="J106" s="7">
        <f t="shared" si="46"/>
        <v>9.83</v>
      </c>
      <c r="K106" s="7">
        <f t="shared" si="46"/>
        <v>8</v>
      </c>
      <c r="L106" s="7">
        <f t="shared" si="46"/>
        <v>11.5</v>
      </c>
      <c r="M106" s="7">
        <f t="shared" si="46"/>
        <v>12</v>
      </c>
      <c r="N106" s="7">
        <f t="shared" si="46"/>
        <v>0</v>
      </c>
      <c r="O106" s="7">
        <f t="shared" si="46"/>
        <v>8.4149999999999991</v>
      </c>
      <c r="P106" s="7">
        <f t="shared" si="46"/>
        <v>0</v>
      </c>
      <c r="Q106" s="7">
        <f t="shared" si="46"/>
        <v>0</v>
      </c>
      <c r="R106" s="7">
        <f t="shared" si="46"/>
        <v>0</v>
      </c>
      <c r="S106" s="7">
        <f t="shared" si="46"/>
        <v>9.33</v>
      </c>
      <c r="T106" s="7">
        <f t="shared" si="46"/>
        <v>8.5</v>
      </c>
      <c r="U106" s="6"/>
      <c r="V106" s="17">
        <f t="shared" si="30"/>
        <v>75.075000000000003</v>
      </c>
      <c r="W106" s="17">
        <f t="shared" si="31"/>
        <v>9.3843750000000004</v>
      </c>
      <c r="X106" s="8"/>
    </row>
    <row r="107" spans="1:24" ht="23.25" customHeight="1" x14ac:dyDescent="0.25">
      <c r="A107" s="29"/>
      <c r="B107" s="32"/>
      <c r="C107" s="35"/>
      <c r="D107" s="38"/>
      <c r="E107" s="41"/>
      <c r="F107" s="44"/>
      <c r="G107" s="49" t="s">
        <v>37</v>
      </c>
      <c r="H107" s="4" t="s">
        <v>22</v>
      </c>
      <c r="I107" s="19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7">
        <f t="shared" si="30"/>
        <v>0</v>
      </c>
      <c r="W107" s="17">
        <f t="shared" si="31"/>
        <v>0</v>
      </c>
      <c r="X107" s="8"/>
    </row>
    <row r="108" spans="1:24" ht="23.25" customHeight="1" x14ac:dyDescent="0.25">
      <c r="A108" s="29"/>
      <c r="B108" s="32"/>
      <c r="C108" s="35"/>
      <c r="D108" s="38"/>
      <c r="E108" s="41"/>
      <c r="F108" s="44"/>
      <c r="G108" s="47"/>
      <c r="H108" s="4" t="s">
        <v>23</v>
      </c>
      <c r="I108" s="19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7">
        <f t="shared" si="30"/>
        <v>0</v>
      </c>
      <c r="W108" s="17">
        <f t="shared" si="31"/>
        <v>0</v>
      </c>
      <c r="X108" s="8"/>
    </row>
    <row r="109" spans="1:24" ht="23.25" customHeight="1" x14ac:dyDescent="0.25">
      <c r="A109" s="29"/>
      <c r="B109" s="32"/>
      <c r="C109" s="35"/>
      <c r="D109" s="38"/>
      <c r="E109" s="41"/>
      <c r="F109" s="44"/>
      <c r="G109" s="48"/>
      <c r="H109" s="4" t="s">
        <v>25</v>
      </c>
      <c r="I109" s="20">
        <f t="shared" ref="I109:T109" si="47">(I107+I108)/2</f>
        <v>0</v>
      </c>
      <c r="J109" s="7">
        <f t="shared" si="47"/>
        <v>0</v>
      </c>
      <c r="K109" s="7">
        <f t="shared" si="47"/>
        <v>0</v>
      </c>
      <c r="L109" s="7">
        <f t="shared" si="47"/>
        <v>0</v>
      </c>
      <c r="M109" s="7">
        <f t="shared" si="47"/>
        <v>0</v>
      </c>
      <c r="N109" s="7">
        <f t="shared" si="47"/>
        <v>0</v>
      </c>
      <c r="O109" s="7">
        <f t="shared" si="47"/>
        <v>0</v>
      </c>
      <c r="P109" s="7">
        <f t="shared" si="47"/>
        <v>0</v>
      </c>
      <c r="Q109" s="7">
        <f t="shared" si="47"/>
        <v>0</v>
      </c>
      <c r="R109" s="7">
        <f t="shared" si="47"/>
        <v>0</v>
      </c>
      <c r="S109" s="7">
        <f t="shared" si="47"/>
        <v>0</v>
      </c>
      <c r="T109" s="7">
        <f t="shared" si="47"/>
        <v>0</v>
      </c>
      <c r="U109" s="6"/>
      <c r="V109" s="17">
        <f t="shared" si="30"/>
        <v>0</v>
      </c>
      <c r="W109" s="17">
        <f t="shared" si="31"/>
        <v>0</v>
      </c>
      <c r="X109" s="8"/>
    </row>
    <row r="110" spans="1:24" ht="23.25" customHeight="1" thickBot="1" x14ac:dyDescent="0.3">
      <c r="A110" s="30"/>
      <c r="B110" s="33"/>
      <c r="C110" s="36"/>
      <c r="D110" s="39"/>
      <c r="E110" s="52"/>
      <c r="F110" s="45"/>
      <c r="G110" s="50" t="s">
        <v>26</v>
      </c>
      <c r="H110" s="51"/>
      <c r="I110" s="20">
        <f t="shared" ref="I110:T110" si="48">(I106+I109)/2</f>
        <v>3.75</v>
      </c>
      <c r="J110" s="7">
        <f t="shared" si="48"/>
        <v>4.915</v>
      </c>
      <c r="K110" s="7">
        <f t="shared" si="48"/>
        <v>4</v>
      </c>
      <c r="L110" s="7">
        <f t="shared" si="48"/>
        <v>5.75</v>
      </c>
      <c r="M110" s="7">
        <f t="shared" si="48"/>
        <v>6</v>
      </c>
      <c r="N110" s="7">
        <f t="shared" si="48"/>
        <v>0</v>
      </c>
      <c r="O110" s="7">
        <f t="shared" si="48"/>
        <v>4.2074999999999996</v>
      </c>
      <c r="P110" s="7">
        <f t="shared" si="48"/>
        <v>0</v>
      </c>
      <c r="Q110" s="7">
        <f t="shared" si="48"/>
        <v>0</v>
      </c>
      <c r="R110" s="7">
        <f t="shared" si="48"/>
        <v>0</v>
      </c>
      <c r="S110" s="7">
        <f t="shared" si="48"/>
        <v>4.665</v>
      </c>
      <c r="T110" s="7">
        <f t="shared" si="48"/>
        <v>4.25</v>
      </c>
      <c r="U110" s="6"/>
      <c r="V110" s="17">
        <f t="shared" si="30"/>
        <v>37.537500000000001</v>
      </c>
      <c r="W110" s="17">
        <f t="shared" si="31"/>
        <v>4.6921875000000002</v>
      </c>
      <c r="X110" s="8"/>
    </row>
    <row r="111" spans="1:24" ht="23.25" customHeight="1" x14ac:dyDescent="0.25">
      <c r="A111" s="28">
        <v>16</v>
      </c>
      <c r="B111" s="31" t="s">
        <v>29</v>
      </c>
      <c r="C111" s="34" t="s">
        <v>28</v>
      </c>
      <c r="D111" s="37" t="s">
        <v>30</v>
      </c>
      <c r="E111" s="40" t="s">
        <v>58</v>
      </c>
      <c r="F111" s="43" t="s">
        <v>33</v>
      </c>
      <c r="G111" s="46" t="s">
        <v>36</v>
      </c>
      <c r="H111" s="3" t="s">
        <v>22</v>
      </c>
      <c r="I111" s="19">
        <v>11.67</v>
      </c>
      <c r="J111" s="6">
        <v>12</v>
      </c>
      <c r="K111" s="6">
        <v>13</v>
      </c>
      <c r="L111" s="6">
        <v>14.92</v>
      </c>
      <c r="M111" s="6">
        <v>11</v>
      </c>
      <c r="N111" s="6"/>
      <c r="O111" s="6">
        <v>13</v>
      </c>
      <c r="P111" s="6"/>
      <c r="Q111" s="6"/>
      <c r="R111" s="6"/>
      <c r="S111" s="6">
        <v>11</v>
      </c>
      <c r="T111" s="6">
        <v>11</v>
      </c>
      <c r="U111" s="6"/>
      <c r="V111" s="17">
        <f t="shared" si="30"/>
        <v>97.59</v>
      </c>
      <c r="W111" s="17">
        <f t="shared" si="31"/>
        <v>12.19875</v>
      </c>
      <c r="X111" s="8"/>
    </row>
    <row r="112" spans="1:24" ht="23.25" customHeight="1" x14ac:dyDescent="0.25">
      <c r="A112" s="29"/>
      <c r="B112" s="32"/>
      <c r="C112" s="35"/>
      <c r="D112" s="38"/>
      <c r="E112" s="41"/>
      <c r="F112" s="44"/>
      <c r="G112" s="47"/>
      <c r="H112" s="4" t="s">
        <v>23</v>
      </c>
      <c r="I112" s="19">
        <v>8</v>
      </c>
      <c r="J112" s="6">
        <v>13.75</v>
      </c>
      <c r="K112" s="6">
        <v>9</v>
      </c>
      <c r="L112" s="6">
        <v>10.25</v>
      </c>
      <c r="M112" s="6">
        <v>15.5</v>
      </c>
      <c r="N112" s="6"/>
      <c r="O112" s="6">
        <v>11</v>
      </c>
      <c r="P112" s="6"/>
      <c r="Q112" s="6"/>
      <c r="R112" s="6"/>
      <c r="S112" s="6">
        <v>10</v>
      </c>
      <c r="T112" s="6">
        <v>2</v>
      </c>
      <c r="U112" s="6"/>
      <c r="V112" s="17">
        <f t="shared" si="30"/>
        <v>79.5</v>
      </c>
      <c r="W112" s="17">
        <f t="shared" si="31"/>
        <v>9.9375</v>
      </c>
      <c r="X112" s="8"/>
    </row>
    <row r="113" spans="1:24" ht="23.25" customHeight="1" x14ac:dyDescent="0.25">
      <c r="A113" s="29"/>
      <c r="B113" s="32"/>
      <c r="C113" s="35"/>
      <c r="D113" s="38"/>
      <c r="E113" s="41"/>
      <c r="F113" s="44"/>
      <c r="G113" s="48"/>
      <c r="H113" s="4" t="s">
        <v>24</v>
      </c>
      <c r="I113" s="20">
        <f t="shared" ref="I113:T113" si="49">(I111+I112)/2</f>
        <v>9.8350000000000009</v>
      </c>
      <c r="J113" s="7">
        <f t="shared" si="49"/>
        <v>12.875</v>
      </c>
      <c r="K113" s="7">
        <f t="shared" si="49"/>
        <v>11</v>
      </c>
      <c r="L113" s="7">
        <f t="shared" si="49"/>
        <v>12.585000000000001</v>
      </c>
      <c r="M113" s="7">
        <f t="shared" si="49"/>
        <v>13.25</v>
      </c>
      <c r="N113" s="7">
        <f t="shared" si="49"/>
        <v>0</v>
      </c>
      <c r="O113" s="7">
        <f t="shared" si="49"/>
        <v>12</v>
      </c>
      <c r="P113" s="7">
        <f t="shared" si="49"/>
        <v>0</v>
      </c>
      <c r="Q113" s="7">
        <f t="shared" si="49"/>
        <v>0</v>
      </c>
      <c r="R113" s="7">
        <f t="shared" si="49"/>
        <v>0</v>
      </c>
      <c r="S113" s="7">
        <f t="shared" si="49"/>
        <v>10.5</v>
      </c>
      <c r="T113" s="7">
        <f t="shared" si="49"/>
        <v>6.5</v>
      </c>
      <c r="U113" s="6"/>
      <c r="V113" s="17">
        <f t="shared" si="30"/>
        <v>88.545000000000002</v>
      </c>
      <c r="W113" s="17">
        <f t="shared" si="31"/>
        <v>11.068125</v>
      </c>
      <c r="X113" s="8"/>
    </row>
    <row r="114" spans="1:24" ht="23.25" customHeight="1" x14ac:dyDescent="0.25">
      <c r="A114" s="29"/>
      <c r="B114" s="32"/>
      <c r="C114" s="35"/>
      <c r="D114" s="38"/>
      <c r="E114" s="41"/>
      <c r="F114" s="44"/>
      <c r="G114" s="49" t="s">
        <v>37</v>
      </c>
      <c r="H114" s="4" t="s">
        <v>22</v>
      </c>
      <c r="I114" s="19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7">
        <f t="shared" si="30"/>
        <v>0</v>
      </c>
      <c r="W114" s="17">
        <f t="shared" si="31"/>
        <v>0</v>
      </c>
      <c r="X114" s="8"/>
    </row>
    <row r="115" spans="1:24" ht="23.25" customHeight="1" x14ac:dyDescent="0.25">
      <c r="A115" s="29"/>
      <c r="B115" s="32"/>
      <c r="C115" s="35"/>
      <c r="D115" s="38"/>
      <c r="E115" s="41"/>
      <c r="F115" s="44"/>
      <c r="G115" s="47"/>
      <c r="H115" s="4" t="s">
        <v>23</v>
      </c>
      <c r="I115" s="19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7">
        <f t="shared" si="30"/>
        <v>0</v>
      </c>
      <c r="W115" s="17">
        <f t="shared" si="31"/>
        <v>0</v>
      </c>
      <c r="X115" s="8"/>
    </row>
    <row r="116" spans="1:24" ht="23.25" customHeight="1" x14ac:dyDescent="0.25">
      <c r="A116" s="29"/>
      <c r="B116" s="32"/>
      <c r="C116" s="35"/>
      <c r="D116" s="38"/>
      <c r="E116" s="41"/>
      <c r="F116" s="44"/>
      <c r="G116" s="48"/>
      <c r="H116" s="4" t="s">
        <v>25</v>
      </c>
      <c r="I116" s="20">
        <f t="shared" ref="I116:T116" si="50">(I114+I115)/2</f>
        <v>0</v>
      </c>
      <c r="J116" s="7">
        <f t="shared" si="50"/>
        <v>0</v>
      </c>
      <c r="K116" s="7">
        <f t="shared" si="50"/>
        <v>0</v>
      </c>
      <c r="L116" s="7">
        <f t="shared" si="50"/>
        <v>0</v>
      </c>
      <c r="M116" s="7">
        <f t="shared" si="50"/>
        <v>0</v>
      </c>
      <c r="N116" s="7">
        <f t="shared" si="50"/>
        <v>0</v>
      </c>
      <c r="O116" s="7">
        <f t="shared" si="50"/>
        <v>0</v>
      </c>
      <c r="P116" s="7">
        <f t="shared" si="50"/>
        <v>0</v>
      </c>
      <c r="Q116" s="7">
        <f t="shared" si="50"/>
        <v>0</v>
      </c>
      <c r="R116" s="7">
        <f t="shared" si="50"/>
        <v>0</v>
      </c>
      <c r="S116" s="7">
        <f t="shared" si="50"/>
        <v>0</v>
      </c>
      <c r="T116" s="7">
        <f t="shared" si="50"/>
        <v>0</v>
      </c>
      <c r="U116" s="6"/>
      <c r="V116" s="17">
        <f t="shared" si="30"/>
        <v>0</v>
      </c>
      <c r="W116" s="17">
        <f t="shared" si="31"/>
        <v>0</v>
      </c>
      <c r="X116" s="8"/>
    </row>
    <row r="117" spans="1:24" ht="23.25" customHeight="1" thickBot="1" x14ac:dyDescent="0.3">
      <c r="A117" s="30"/>
      <c r="B117" s="33"/>
      <c r="C117" s="36"/>
      <c r="D117" s="39"/>
      <c r="E117" s="52"/>
      <c r="F117" s="45"/>
      <c r="G117" s="50" t="s">
        <v>26</v>
      </c>
      <c r="H117" s="51"/>
      <c r="I117" s="20">
        <f t="shared" ref="I117:T117" si="51">(I113+I116)/2</f>
        <v>4.9175000000000004</v>
      </c>
      <c r="J117" s="7">
        <f t="shared" si="51"/>
        <v>6.4375</v>
      </c>
      <c r="K117" s="7">
        <f t="shared" si="51"/>
        <v>5.5</v>
      </c>
      <c r="L117" s="7">
        <f t="shared" si="51"/>
        <v>6.2925000000000004</v>
      </c>
      <c r="M117" s="7">
        <f t="shared" si="51"/>
        <v>6.625</v>
      </c>
      <c r="N117" s="7">
        <f t="shared" si="51"/>
        <v>0</v>
      </c>
      <c r="O117" s="7">
        <f t="shared" si="51"/>
        <v>6</v>
      </c>
      <c r="P117" s="7">
        <f t="shared" si="51"/>
        <v>0</v>
      </c>
      <c r="Q117" s="7">
        <f t="shared" si="51"/>
        <v>0</v>
      </c>
      <c r="R117" s="7">
        <f t="shared" si="51"/>
        <v>0</v>
      </c>
      <c r="S117" s="7">
        <f t="shared" si="51"/>
        <v>5.25</v>
      </c>
      <c r="T117" s="7">
        <f t="shared" si="51"/>
        <v>3.25</v>
      </c>
      <c r="U117" s="6"/>
      <c r="V117" s="17">
        <f t="shared" si="30"/>
        <v>44.272500000000001</v>
      </c>
      <c r="W117" s="17">
        <f t="shared" si="31"/>
        <v>5.5340625000000001</v>
      </c>
      <c r="X117" s="8"/>
    </row>
    <row r="118" spans="1:24" ht="23.25" customHeight="1" x14ac:dyDescent="0.25">
      <c r="A118" s="28">
        <v>17</v>
      </c>
      <c r="B118" s="31" t="s">
        <v>29</v>
      </c>
      <c r="C118" s="34" t="s">
        <v>28</v>
      </c>
      <c r="D118" s="37" t="s">
        <v>30</v>
      </c>
      <c r="E118" s="40" t="s">
        <v>59</v>
      </c>
      <c r="F118" s="43" t="s">
        <v>33</v>
      </c>
      <c r="G118" s="46" t="s">
        <v>36</v>
      </c>
      <c r="H118" s="3" t="s">
        <v>22</v>
      </c>
      <c r="I118" s="19">
        <v>10.33</v>
      </c>
      <c r="J118" s="6">
        <v>0</v>
      </c>
      <c r="K118" s="6">
        <v>0</v>
      </c>
      <c r="L118" s="6">
        <v>0</v>
      </c>
      <c r="M118" s="6">
        <v>0</v>
      </c>
      <c r="N118" s="6"/>
      <c r="O118" s="6">
        <v>0</v>
      </c>
      <c r="P118" s="6"/>
      <c r="Q118" s="6"/>
      <c r="R118" s="6"/>
      <c r="S118" s="6">
        <v>0</v>
      </c>
      <c r="T118" s="6">
        <v>7</v>
      </c>
      <c r="U118" s="6"/>
      <c r="V118" s="17">
        <f t="shared" si="30"/>
        <v>17.329999999999998</v>
      </c>
      <c r="W118" s="17">
        <f t="shared" si="31"/>
        <v>2.1662499999999998</v>
      </c>
      <c r="X118" s="8"/>
    </row>
    <row r="119" spans="1:24" ht="23.25" customHeight="1" x14ac:dyDescent="0.25">
      <c r="A119" s="29"/>
      <c r="B119" s="32"/>
      <c r="C119" s="35"/>
      <c r="D119" s="38"/>
      <c r="E119" s="41"/>
      <c r="F119" s="44"/>
      <c r="G119" s="47"/>
      <c r="H119" s="4" t="s">
        <v>23</v>
      </c>
      <c r="I119" s="19">
        <v>0</v>
      </c>
      <c r="J119" s="6">
        <v>0</v>
      </c>
      <c r="K119" s="6">
        <v>0</v>
      </c>
      <c r="L119" s="6">
        <v>0</v>
      </c>
      <c r="M119" s="6">
        <v>0</v>
      </c>
      <c r="N119" s="6"/>
      <c r="O119" s="6">
        <v>0</v>
      </c>
      <c r="P119" s="6"/>
      <c r="Q119" s="6"/>
      <c r="R119" s="6"/>
      <c r="S119" s="6">
        <v>0</v>
      </c>
      <c r="T119" s="6">
        <v>0</v>
      </c>
      <c r="U119" s="6"/>
      <c r="V119" s="17">
        <f t="shared" si="30"/>
        <v>0</v>
      </c>
      <c r="W119" s="17">
        <f t="shared" si="31"/>
        <v>0</v>
      </c>
      <c r="X119" s="8"/>
    </row>
    <row r="120" spans="1:24" ht="23.25" customHeight="1" x14ac:dyDescent="0.25">
      <c r="A120" s="29"/>
      <c r="B120" s="32"/>
      <c r="C120" s="35"/>
      <c r="D120" s="38"/>
      <c r="E120" s="41"/>
      <c r="F120" s="44"/>
      <c r="G120" s="48"/>
      <c r="H120" s="4" t="s">
        <v>24</v>
      </c>
      <c r="I120" s="20">
        <f t="shared" ref="I120:T120" si="52">(I118+I119)/2</f>
        <v>5.165</v>
      </c>
      <c r="J120" s="7">
        <f t="shared" si="52"/>
        <v>0</v>
      </c>
      <c r="K120" s="7">
        <f t="shared" si="52"/>
        <v>0</v>
      </c>
      <c r="L120" s="7">
        <f t="shared" si="52"/>
        <v>0</v>
      </c>
      <c r="M120" s="7">
        <f t="shared" si="52"/>
        <v>0</v>
      </c>
      <c r="N120" s="7">
        <f t="shared" si="52"/>
        <v>0</v>
      </c>
      <c r="O120" s="7">
        <f t="shared" si="52"/>
        <v>0</v>
      </c>
      <c r="P120" s="7">
        <f t="shared" si="52"/>
        <v>0</v>
      </c>
      <c r="Q120" s="7">
        <f t="shared" si="52"/>
        <v>0</v>
      </c>
      <c r="R120" s="7">
        <f t="shared" si="52"/>
        <v>0</v>
      </c>
      <c r="S120" s="7">
        <f t="shared" si="52"/>
        <v>0</v>
      </c>
      <c r="T120" s="7">
        <f t="shared" si="52"/>
        <v>3.5</v>
      </c>
      <c r="U120" s="6"/>
      <c r="V120" s="17">
        <f t="shared" si="30"/>
        <v>8.6649999999999991</v>
      </c>
      <c r="W120" s="17">
        <f t="shared" si="31"/>
        <v>1.0831249999999999</v>
      </c>
      <c r="X120" s="8"/>
    </row>
    <row r="121" spans="1:24" ht="23.25" customHeight="1" x14ac:dyDescent="0.25">
      <c r="A121" s="29"/>
      <c r="B121" s="32"/>
      <c r="C121" s="35"/>
      <c r="D121" s="38"/>
      <c r="E121" s="41"/>
      <c r="F121" s="44"/>
      <c r="G121" s="49" t="s">
        <v>37</v>
      </c>
      <c r="H121" s="4" t="s">
        <v>22</v>
      </c>
      <c r="I121" s="19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7">
        <f t="shared" si="30"/>
        <v>0</v>
      </c>
      <c r="W121" s="17">
        <f t="shared" si="31"/>
        <v>0</v>
      </c>
      <c r="X121" s="8"/>
    </row>
    <row r="122" spans="1:24" ht="23.25" customHeight="1" x14ac:dyDescent="0.25">
      <c r="A122" s="29"/>
      <c r="B122" s="32"/>
      <c r="C122" s="35"/>
      <c r="D122" s="38"/>
      <c r="E122" s="41"/>
      <c r="F122" s="44"/>
      <c r="G122" s="47"/>
      <c r="H122" s="4" t="s">
        <v>23</v>
      </c>
      <c r="I122" s="19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7">
        <f t="shared" si="30"/>
        <v>0</v>
      </c>
      <c r="W122" s="17">
        <f t="shared" si="31"/>
        <v>0</v>
      </c>
      <c r="X122" s="8"/>
    </row>
    <row r="123" spans="1:24" ht="23.25" customHeight="1" x14ac:dyDescent="0.25">
      <c r="A123" s="29"/>
      <c r="B123" s="32"/>
      <c r="C123" s="35"/>
      <c r="D123" s="38"/>
      <c r="E123" s="41"/>
      <c r="F123" s="44"/>
      <c r="G123" s="48"/>
      <c r="H123" s="4" t="s">
        <v>25</v>
      </c>
      <c r="I123" s="20">
        <f t="shared" ref="I123:T123" si="53">(I121+I122)/2</f>
        <v>0</v>
      </c>
      <c r="J123" s="7">
        <f t="shared" si="53"/>
        <v>0</v>
      </c>
      <c r="K123" s="7">
        <f t="shared" si="53"/>
        <v>0</v>
      </c>
      <c r="L123" s="7">
        <f t="shared" si="53"/>
        <v>0</v>
      </c>
      <c r="M123" s="7">
        <f t="shared" si="53"/>
        <v>0</v>
      </c>
      <c r="N123" s="7">
        <f t="shared" si="53"/>
        <v>0</v>
      </c>
      <c r="O123" s="7">
        <f t="shared" si="53"/>
        <v>0</v>
      </c>
      <c r="P123" s="7">
        <f t="shared" si="53"/>
        <v>0</v>
      </c>
      <c r="Q123" s="7">
        <f t="shared" si="53"/>
        <v>0</v>
      </c>
      <c r="R123" s="7">
        <f t="shared" si="53"/>
        <v>0</v>
      </c>
      <c r="S123" s="7">
        <f t="shared" si="53"/>
        <v>0</v>
      </c>
      <c r="T123" s="7">
        <f t="shared" si="53"/>
        <v>0</v>
      </c>
      <c r="U123" s="6"/>
      <c r="V123" s="17">
        <f t="shared" si="30"/>
        <v>0</v>
      </c>
      <c r="W123" s="17">
        <f t="shared" si="31"/>
        <v>0</v>
      </c>
      <c r="X123" s="8"/>
    </row>
    <row r="124" spans="1:24" ht="23.25" customHeight="1" thickBot="1" x14ac:dyDescent="0.3">
      <c r="A124" s="30"/>
      <c r="B124" s="33"/>
      <c r="C124" s="36"/>
      <c r="D124" s="39"/>
      <c r="E124" s="52"/>
      <c r="F124" s="45"/>
      <c r="G124" s="50" t="s">
        <v>26</v>
      </c>
      <c r="H124" s="51"/>
      <c r="I124" s="20">
        <f t="shared" ref="I124:T124" si="54">(I120+I123)/2</f>
        <v>2.5825</v>
      </c>
      <c r="J124" s="7">
        <f t="shared" si="54"/>
        <v>0</v>
      </c>
      <c r="K124" s="7">
        <f t="shared" si="54"/>
        <v>0</v>
      </c>
      <c r="L124" s="7">
        <f t="shared" si="54"/>
        <v>0</v>
      </c>
      <c r="M124" s="7">
        <f t="shared" si="54"/>
        <v>0</v>
      </c>
      <c r="N124" s="7">
        <f t="shared" si="54"/>
        <v>0</v>
      </c>
      <c r="O124" s="7">
        <f t="shared" si="54"/>
        <v>0</v>
      </c>
      <c r="P124" s="7">
        <f t="shared" si="54"/>
        <v>0</v>
      </c>
      <c r="Q124" s="7">
        <f t="shared" si="54"/>
        <v>0</v>
      </c>
      <c r="R124" s="7">
        <f t="shared" si="54"/>
        <v>0</v>
      </c>
      <c r="S124" s="7">
        <f t="shared" si="54"/>
        <v>0</v>
      </c>
      <c r="T124" s="7">
        <f t="shared" si="54"/>
        <v>1.75</v>
      </c>
      <c r="U124" s="6"/>
      <c r="V124" s="17">
        <f t="shared" si="30"/>
        <v>4.3324999999999996</v>
      </c>
      <c r="W124" s="17">
        <f t="shared" si="31"/>
        <v>0.54156249999999995</v>
      </c>
      <c r="X124" s="8"/>
    </row>
    <row r="125" spans="1:24" ht="23.25" customHeight="1" x14ac:dyDescent="0.25">
      <c r="A125" s="28">
        <v>18</v>
      </c>
      <c r="B125" s="31" t="s">
        <v>29</v>
      </c>
      <c r="C125" s="34" t="s">
        <v>28</v>
      </c>
      <c r="D125" s="37" t="s">
        <v>30</v>
      </c>
      <c r="E125" s="40" t="s">
        <v>60</v>
      </c>
      <c r="F125" s="43" t="s">
        <v>33</v>
      </c>
      <c r="G125" s="46" t="s">
        <v>36</v>
      </c>
      <c r="H125" s="3" t="s">
        <v>22</v>
      </c>
      <c r="I125" s="19">
        <v>12</v>
      </c>
      <c r="J125" s="6">
        <v>10.66</v>
      </c>
      <c r="K125" s="6">
        <v>7</v>
      </c>
      <c r="L125" s="6">
        <v>16.170000000000002</v>
      </c>
      <c r="M125" s="6">
        <v>6.16</v>
      </c>
      <c r="N125" s="6"/>
      <c r="O125" s="6">
        <v>11.5</v>
      </c>
      <c r="P125" s="6"/>
      <c r="Q125" s="6"/>
      <c r="R125" s="6"/>
      <c r="S125" s="6">
        <v>0</v>
      </c>
      <c r="T125" s="6">
        <v>13</v>
      </c>
      <c r="U125" s="6"/>
      <c r="V125" s="17">
        <f t="shared" si="30"/>
        <v>76.489999999999995</v>
      </c>
      <c r="W125" s="17">
        <f t="shared" si="31"/>
        <v>9.5612499999999994</v>
      </c>
      <c r="X125" s="8"/>
    </row>
    <row r="126" spans="1:24" ht="23.25" customHeight="1" x14ac:dyDescent="0.25">
      <c r="A126" s="29"/>
      <c r="B126" s="32"/>
      <c r="C126" s="35"/>
      <c r="D126" s="38"/>
      <c r="E126" s="41"/>
      <c r="F126" s="44"/>
      <c r="G126" s="47"/>
      <c r="H126" s="4" t="s">
        <v>23</v>
      </c>
      <c r="I126" s="19">
        <v>4</v>
      </c>
      <c r="J126" s="6">
        <v>7</v>
      </c>
      <c r="K126" s="6">
        <v>6</v>
      </c>
      <c r="L126" s="6">
        <v>7</v>
      </c>
      <c r="M126" s="6">
        <v>6</v>
      </c>
      <c r="N126" s="6"/>
      <c r="O126" s="6">
        <v>8</v>
      </c>
      <c r="P126" s="6"/>
      <c r="Q126" s="6"/>
      <c r="R126" s="6"/>
      <c r="S126" s="6">
        <v>5</v>
      </c>
      <c r="T126" s="6">
        <v>13</v>
      </c>
      <c r="U126" s="6"/>
      <c r="V126" s="17">
        <f t="shared" si="30"/>
        <v>56</v>
      </c>
      <c r="W126" s="17">
        <f t="shared" si="31"/>
        <v>7</v>
      </c>
      <c r="X126" s="8"/>
    </row>
    <row r="127" spans="1:24" ht="23.25" customHeight="1" x14ac:dyDescent="0.25">
      <c r="A127" s="29"/>
      <c r="B127" s="32"/>
      <c r="C127" s="35"/>
      <c r="D127" s="38"/>
      <c r="E127" s="41"/>
      <c r="F127" s="44"/>
      <c r="G127" s="48"/>
      <c r="H127" s="4" t="s">
        <v>24</v>
      </c>
      <c r="I127" s="20">
        <f t="shared" ref="I127:T127" si="55">(I125+I126)/2</f>
        <v>8</v>
      </c>
      <c r="J127" s="7">
        <f t="shared" si="55"/>
        <v>8.83</v>
      </c>
      <c r="K127" s="7">
        <f t="shared" si="55"/>
        <v>6.5</v>
      </c>
      <c r="L127" s="7">
        <f t="shared" si="55"/>
        <v>11.585000000000001</v>
      </c>
      <c r="M127" s="7">
        <f t="shared" si="55"/>
        <v>6.08</v>
      </c>
      <c r="N127" s="7">
        <f t="shared" si="55"/>
        <v>0</v>
      </c>
      <c r="O127" s="7">
        <f t="shared" si="55"/>
        <v>9.75</v>
      </c>
      <c r="P127" s="7">
        <f t="shared" si="55"/>
        <v>0</v>
      </c>
      <c r="Q127" s="7">
        <f t="shared" si="55"/>
        <v>0</v>
      </c>
      <c r="R127" s="7">
        <f t="shared" si="55"/>
        <v>0</v>
      </c>
      <c r="S127" s="7">
        <f t="shared" si="55"/>
        <v>2.5</v>
      </c>
      <c r="T127" s="7">
        <f t="shared" si="55"/>
        <v>13</v>
      </c>
      <c r="U127" s="6"/>
      <c r="V127" s="17">
        <f t="shared" si="30"/>
        <v>66.245000000000005</v>
      </c>
      <c r="W127" s="17">
        <f t="shared" si="31"/>
        <v>8.2806250000000006</v>
      </c>
      <c r="X127" s="8"/>
    </row>
    <row r="128" spans="1:24" ht="23.25" customHeight="1" x14ac:dyDescent="0.25">
      <c r="A128" s="29"/>
      <c r="B128" s="32"/>
      <c r="C128" s="35"/>
      <c r="D128" s="38"/>
      <c r="E128" s="41"/>
      <c r="F128" s="44"/>
      <c r="G128" s="49" t="s">
        <v>37</v>
      </c>
      <c r="H128" s="4" t="s">
        <v>22</v>
      </c>
      <c r="I128" s="19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7">
        <f t="shared" si="30"/>
        <v>0</v>
      </c>
      <c r="W128" s="17">
        <f t="shared" si="31"/>
        <v>0</v>
      </c>
      <c r="X128" s="8"/>
    </row>
    <row r="129" spans="1:24" ht="23.25" customHeight="1" x14ac:dyDescent="0.25">
      <c r="A129" s="29"/>
      <c r="B129" s="32"/>
      <c r="C129" s="35"/>
      <c r="D129" s="38"/>
      <c r="E129" s="41"/>
      <c r="F129" s="44"/>
      <c r="G129" s="47"/>
      <c r="H129" s="4" t="s">
        <v>23</v>
      </c>
      <c r="I129" s="19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7">
        <f t="shared" si="30"/>
        <v>0</v>
      </c>
      <c r="W129" s="17">
        <f t="shared" si="31"/>
        <v>0</v>
      </c>
      <c r="X129" s="8"/>
    </row>
    <row r="130" spans="1:24" ht="23.25" customHeight="1" x14ac:dyDescent="0.25">
      <c r="A130" s="29"/>
      <c r="B130" s="32"/>
      <c r="C130" s="35"/>
      <c r="D130" s="38"/>
      <c r="E130" s="41"/>
      <c r="F130" s="44"/>
      <c r="G130" s="48"/>
      <c r="H130" s="4" t="s">
        <v>25</v>
      </c>
      <c r="I130" s="20">
        <f t="shared" ref="I130:T130" si="56">(I128+I129)/2</f>
        <v>0</v>
      </c>
      <c r="J130" s="7">
        <f t="shared" si="56"/>
        <v>0</v>
      </c>
      <c r="K130" s="7">
        <f t="shared" si="56"/>
        <v>0</v>
      </c>
      <c r="L130" s="7">
        <f t="shared" si="56"/>
        <v>0</v>
      </c>
      <c r="M130" s="7">
        <f t="shared" si="56"/>
        <v>0</v>
      </c>
      <c r="N130" s="7">
        <f t="shared" si="56"/>
        <v>0</v>
      </c>
      <c r="O130" s="7">
        <f t="shared" si="56"/>
        <v>0</v>
      </c>
      <c r="P130" s="7">
        <f t="shared" si="56"/>
        <v>0</v>
      </c>
      <c r="Q130" s="7">
        <f t="shared" si="56"/>
        <v>0</v>
      </c>
      <c r="R130" s="7">
        <f t="shared" si="56"/>
        <v>0</v>
      </c>
      <c r="S130" s="7">
        <f t="shared" si="56"/>
        <v>0</v>
      </c>
      <c r="T130" s="7">
        <f t="shared" si="56"/>
        <v>0</v>
      </c>
      <c r="U130" s="6"/>
      <c r="V130" s="17">
        <f t="shared" si="30"/>
        <v>0</v>
      </c>
      <c r="W130" s="17">
        <f t="shared" si="31"/>
        <v>0</v>
      </c>
      <c r="X130" s="8"/>
    </row>
    <row r="131" spans="1:24" ht="23.25" customHeight="1" thickBot="1" x14ac:dyDescent="0.3">
      <c r="A131" s="30"/>
      <c r="B131" s="33"/>
      <c r="C131" s="36"/>
      <c r="D131" s="39"/>
      <c r="E131" s="52"/>
      <c r="F131" s="45"/>
      <c r="G131" s="50" t="s">
        <v>26</v>
      </c>
      <c r="H131" s="51"/>
      <c r="I131" s="20">
        <f t="shared" ref="I131:T131" si="57">(I127+I130)/2</f>
        <v>4</v>
      </c>
      <c r="J131" s="7">
        <f t="shared" si="57"/>
        <v>4.415</v>
      </c>
      <c r="K131" s="7">
        <f t="shared" si="57"/>
        <v>3.25</v>
      </c>
      <c r="L131" s="7">
        <f t="shared" si="57"/>
        <v>5.7925000000000004</v>
      </c>
      <c r="M131" s="7">
        <f t="shared" si="57"/>
        <v>3.04</v>
      </c>
      <c r="N131" s="7">
        <f t="shared" si="57"/>
        <v>0</v>
      </c>
      <c r="O131" s="7">
        <f t="shared" si="57"/>
        <v>4.875</v>
      </c>
      <c r="P131" s="7">
        <f t="shared" si="57"/>
        <v>0</v>
      </c>
      <c r="Q131" s="7">
        <f t="shared" si="57"/>
        <v>0</v>
      </c>
      <c r="R131" s="7">
        <f t="shared" si="57"/>
        <v>0</v>
      </c>
      <c r="S131" s="7">
        <f t="shared" si="57"/>
        <v>1.25</v>
      </c>
      <c r="T131" s="7">
        <f t="shared" si="57"/>
        <v>6.5</v>
      </c>
      <c r="U131" s="6"/>
      <c r="V131" s="17">
        <f t="shared" si="30"/>
        <v>33.122500000000002</v>
      </c>
      <c r="W131" s="17">
        <f t="shared" si="31"/>
        <v>4.1403125000000003</v>
      </c>
      <c r="X131" s="8"/>
    </row>
    <row r="132" spans="1:24" ht="23.25" customHeight="1" x14ac:dyDescent="0.25">
      <c r="A132" s="28">
        <v>19</v>
      </c>
      <c r="B132" s="31" t="s">
        <v>29</v>
      </c>
      <c r="C132" s="34" t="s">
        <v>28</v>
      </c>
      <c r="D132" s="37" t="s">
        <v>30</v>
      </c>
      <c r="E132" s="40" t="s">
        <v>61</v>
      </c>
      <c r="F132" s="43" t="s">
        <v>32</v>
      </c>
      <c r="G132" s="46" t="s">
        <v>36</v>
      </c>
      <c r="H132" s="3" t="s">
        <v>22</v>
      </c>
      <c r="I132" s="19">
        <v>0</v>
      </c>
      <c r="J132" s="6">
        <v>0</v>
      </c>
      <c r="K132" s="6">
        <v>9.75</v>
      </c>
      <c r="L132" s="6">
        <v>0</v>
      </c>
      <c r="M132" s="6">
        <v>6.66</v>
      </c>
      <c r="N132" s="6"/>
      <c r="O132" s="6">
        <v>0</v>
      </c>
      <c r="P132" s="6"/>
      <c r="Q132" s="6"/>
      <c r="R132" s="6"/>
      <c r="S132" s="6">
        <v>11.33</v>
      </c>
      <c r="T132" s="6">
        <v>0</v>
      </c>
      <c r="U132" s="6"/>
      <c r="V132" s="17">
        <f t="shared" si="30"/>
        <v>27.740000000000002</v>
      </c>
      <c r="W132" s="17">
        <f t="shared" si="31"/>
        <v>3.4675000000000002</v>
      </c>
      <c r="X132" s="8"/>
    </row>
    <row r="133" spans="1:24" ht="23.25" customHeight="1" x14ac:dyDescent="0.25">
      <c r="A133" s="29"/>
      <c r="B133" s="32"/>
      <c r="C133" s="35"/>
      <c r="D133" s="38"/>
      <c r="E133" s="41"/>
      <c r="F133" s="44"/>
      <c r="G133" s="47"/>
      <c r="H133" s="4" t="s">
        <v>23</v>
      </c>
      <c r="I133" s="19">
        <v>0</v>
      </c>
      <c r="J133" s="6">
        <v>0</v>
      </c>
      <c r="K133" s="6">
        <v>0</v>
      </c>
      <c r="L133" s="6">
        <v>0</v>
      </c>
      <c r="M133" s="6">
        <v>0</v>
      </c>
      <c r="N133" s="6"/>
      <c r="O133" s="6">
        <v>0</v>
      </c>
      <c r="P133" s="6"/>
      <c r="Q133" s="6"/>
      <c r="R133" s="6"/>
      <c r="S133" s="6">
        <v>0</v>
      </c>
      <c r="T133" s="6">
        <v>0</v>
      </c>
      <c r="U133" s="6"/>
      <c r="V133" s="17">
        <f t="shared" si="30"/>
        <v>0</v>
      </c>
      <c r="W133" s="17">
        <f t="shared" si="31"/>
        <v>0</v>
      </c>
      <c r="X133" s="8"/>
    </row>
    <row r="134" spans="1:24" ht="23.25" customHeight="1" x14ac:dyDescent="0.25">
      <c r="A134" s="29"/>
      <c r="B134" s="32"/>
      <c r="C134" s="35"/>
      <c r="D134" s="38"/>
      <c r="E134" s="41"/>
      <c r="F134" s="44"/>
      <c r="G134" s="48"/>
      <c r="H134" s="4" t="s">
        <v>24</v>
      </c>
      <c r="I134" s="20">
        <f t="shared" ref="I134:T134" si="58">(I132+I133)/2</f>
        <v>0</v>
      </c>
      <c r="J134" s="7">
        <f t="shared" si="58"/>
        <v>0</v>
      </c>
      <c r="K134" s="7">
        <f t="shared" si="58"/>
        <v>4.875</v>
      </c>
      <c r="L134" s="7">
        <f t="shared" si="58"/>
        <v>0</v>
      </c>
      <c r="M134" s="7">
        <f t="shared" si="58"/>
        <v>3.33</v>
      </c>
      <c r="N134" s="7">
        <f t="shared" si="58"/>
        <v>0</v>
      </c>
      <c r="O134" s="7">
        <f t="shared" si="58"/>
        <v>0</v>
      </c>
      <c r="P134" s="7">
        <f t="shared" si="58"/>
        <v>0</v>
      </c>
      <c r="Q134" s="7">
        <f t="shared" si="58"/>
        <v>0</v>
      </c>
      <c r="R134" s="7">
        <f t="shared" si="58"/>
        <v>0</v>
      </c>
      <c r="S134" s="7">
        <f t="shared" si="58"/>
        <v>5.665</v>
      </c>
      <c r="T134" s="7">
        <f t="shared" si="58"/>
        <v>0</v>
      </c>
      <c r="U134" s="6"/>
      <c r="V134" s="17">
        <f t="shared" si="30"/>
        <v>13.870000000000001</v>
      </c>
      <c r="W134" s="17">
        <f t="shared" si="31"/>
        <v>1.7337500000000001</v>
      </c>
      <c r="X134" s="8"/>
    </row>
    <row r="135" spans="1:24" ht="23.25" customHeight="1" x14ac:dyDescent="0.25">
      <c r="A135" s="29"/>
      <c r="B135" s="32"/>
      <c r="C135" s="35"/>
      <c r="D135" s="38"/>
      <c r="E135" s="41"/>
      <c r="F135" s="44"/>
      <c r="G135" s="49" t="s">
        <v>37</v>
      </c>
      <c r="H135" s="4" t="s">
        <v>22</v>
      </c>
      <c r="I135" s="19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7">
        <f t="shared" ref="V135:V198" si="59">(I135+J135+K135+L135+M135+N135+O135+P135+Q135+S135+T135)</f>
        <v>0</v>
      </c>
      <c r="W135" s="17">
        <f t="shared" ref="W135:W198" si="60">(V135)/8</f>
        <v>0</v>
      </c>
      <c r="X135" s="8"/>
    </row>
    <row r="136" spans="1:24" ht="23.25" customHeight="1" x14ac:dyDescent="0.25">
      <c r="A136" s="29"/>
      <c r="B136" s="32"/>
      <c r="C136" s="35"/>
      <c r="D136" s="38"/>
      <c r="E136" s="41"/>
      <c r="F136" s="44"/>
      <c r="G136" s="47"/>
      <c r="H136" s="4" t="s">
        <v>23</v>
      </c>
      <c r="I136" s="19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7">
        <f t="shared" si="59"/>
        <v>0</v>
      </c>
      <c r="W136" s="17">
        <f t="shared" si="60"/>
        <v>0</v>
      </c>
      <c r="X136" s="8"/>
    </row>
    <row r="137" spans="1:24" ht="23.25" customHeight="1" x14ac:dyDescent="0.25">
      <c r="A137" s="29"/>
      <c r="B137" s="32"/>
      <c r="C137" s="35"/>
      <c r="D137" s="38"/>
      <c r="E137" s="41"/>
      <c r="F137" s="44"/>
      <c r="G137" s="48"/>
      <c r="H137" s="4" t="s">
        <v>25</v>
      </c>
      <c r="I137" s="20">
        <f t="shared" ref="I137:T137" si="61">(I135+I136)/2</f>
        <v>0</v>
      </c>
      <c r="J137" s="7">
        <f t="shared" si="61"/>
        <v>0</v>
      </c>
      <c r="K137" s="7">
        <f t="shared" si="61"/>
        <v>0</v>
      </c>
      <c r="L137" s="7">
        <f t="shared" si="61"/>
        <v>0</v>
      </c>
      <c r="M137" s="7">
        <f t="shared" si="61"/>
        <v>0</v>
      </c>
      <c r="N137" s="7">
        <f t="shared" si="61"/>
        <v>0</v>
      </c>
      <c r="O137" s="7">
        <f t="shared" si="61"/>
        <v>0</v>
      </c>
      <c r="P137" s="7">
        <f t="shared" si="61"/>
        <v>0</v>
      </c>
      <c r="Q137" s="7">
        <f t="shared" si="61"/>
        <v>0</v>
      </c>
      <c r="R137" s="7">
        <f t="shared" si="61"/>
        <v>0</v>
      </c>
      <c r="S137" s="7">
        <f t="shared" si="61"/>
        <v>0</v>
      </c>
      <c r="T137" s="7">
        <f t="shared" si="61"/>
        <v>0</v>
      </c>
      <c r="U137" s="6"/>
      <c r="V137" s="17">
        <f t="shared" si="59"/>
        <v>0</v>
      </c>
      <c r="W137" s="17">
        <f t="shared" si="60"/>
        <v>0</v>
      </c>
      <c r="X137" s="8"/>
    </row>
    <row r="138" spans="1:24" ht="23.25" customHeight="1" thickBot="1" x14ac:dyDescent="0.3">
      <c r="A138" s="30"/>
      <c r="B138" s="33"/>
      <c r="C138" s="36"/>
      <c r="D138" s="39"/>
      <c r="E138" s="52"/>
      <c r="F138" s="45"/>
      <c r="G138" s="50" t="s">
        <v>26</v>
      </c>
      <c r="H138" s="51"/>
      <c r="I138" s="20">
        <f t="shared" ref="I138:T138" si="62">(I134+I137)/2</f>
        <v>0</v>
      </c>
      <c r="J138" s="7">
        <f t="shared" si="62"/>
        <v>0</v>
      </c>
      <c r="K138" s="7">
        <f t="shared" si="62"/>
        <v>2.4375</v>
      </c>
      <c r="L138" s="7">
        <f t="shared" si="62"/>
        <v>0</v>
      </c>
      <c r="M138" s="7">
        <f t="shared" si="62"/>
        <v>1.665</v>
      </c>
      <c r="N138" s="7">
        <f t="shared" si="62"/>
        <v>0</v>
      </c>
      <c r="O138" s="7">
        <f t="shared" si="62"/>
        <v>0</v>
      </c>
      <c r="P138" s="7">
        <f t="shared" si="62"/>
        <v>0</v>
      </c>
      <c r="Q138" s="7">
        <f t="shared" si="62"/>
        <v>0</v>
      </c>
      <c r="R138" s="7">
        <f t="shared" si="62"/>
        <v>0</v>
      </c>
      <c r="S138" s="7">
        <f t="shared" si="62"/>
        <v>2.8325</v>
      </c>
      <c r="T138" s="7">
        <f t="shared" si="62"/>
        <v>0</v>
      </c>
      <c r="U138" s="6"/>
      <c r="V138" s="17">
        <f t="shared" si="59"/>
        <v>6.9350000000000005</v>
      </c>
      <c r="W138" s="17">
        <f t="shared" si="60"/>
        <v>0.86687500000000006</v>
      </c>
      <c r="X138" s="8"/>
    </row>
    <row r="139" spans="1:24" ht="23.25" customHeight="1" x14ac:dyDescent="0.25">
      <c r="A139" s="28">
        <v>20</v>
      </c>
      <c r="B139" s="31" t="s">
        <v>29</v>
      </c>
      <c r="C139" s="34" t="s">
        <v>28</v>
      </c>
      <c r="D139" s="37" t="s">
        <v>30</v>
      </c>
      <c r="E139" s="40" t="s">
        <v>62</v>
      </c>
      <c r="F139" s="43" t="s">
        <v>32</v>
      </c>
      <c r="G139" s="46" t="s">
        <v>36</v>
      </c>
      <c r="H139" s="3" t="s">
        <v>22</v>
      </c>
      <c r="I139" s="19">
        <v>10</v>
      </c>
      <c r="J139" s="6">
        <v>0</v>
      </c>
      <c r="K139" s="6">
        <v>9.5</v>
      </c>
      <c r="L139" s="6">
        <v>0</v>
      </c>
      <c r="M139" s="6">
        <v>7</v>
      </c>
      <c r="N139" s="6"/>
      <c r="O139" s="6">
        <v>0</v>
      </c>
      <c r="P139" s="6"/>
      <c r="Q139" s="6"/>
      <c r="R139" s="6"/>
      <c r="S139" s="6">
        <v>14</v>
      </c>
      <c r="T139" s="6">
        <v>11.25</v>
      </c>
      <c r="U139" s="6"/>
      <c r="V139" s="17">
        <f t="shared" si="59"/>
        <v>51.75</v>
      </c>
      <c r="W139" s="17">
        <f t="shared" si="60"/>
        <v>6.46875</v>
      </c>
      <c r="X139" s="8"/>
    </row>
    <row r="140" spans="1:24" ht="23.25" customHeight="1" x14ac:dyDescent="0.25">
      <c r="A140" s="29"/>
      <c r="B140" s="32"/>
      <c r="C140" s="35"/>
      <c r="D140" s="38"/>
      <c r="E140" s="41"/>
      <c r="F140" s="44"/>
      <c r="G140" s="47"/>
      <c r="H140" s="4" t="s">
        <v>23</v>
      </c>
      <c r="I140" s="19">
        <v>0</v>
      </c>
      <c r="J140" s="6">
        <v>0</v>
      </c>
      <c r="K140" s="6">
        <v>0</v>
      </c>
      <c r="L140" s="6">
        <v>0</v>
      </c>
      <c r="M140" s="6">
        <v>0</v>
      </c>
      <c r="N140" s="6"/>
      <c r="O140" s="6">
        <v>0</v>
      </c>
      <c r="P140" s="6"/>
      <c r="Q140" s="6"/>
      <c r="R140" s="6"/>
      <c r="S140" s="6">
        <v>0</v>
      </c>
      <c r="T140" s="6">
        <v>0</v>
      </c>
      <c r="U140" s="6"/>
      <c r="V140" s="17">
        <f t="shared" si="59"/>
        <v>0</v>
      </c>
      <c r="W140" s="17">
        <f t="shared" si="60"/>
        <v>0</v>
      </c>
      <c r="X140" s="8"/>
    </row>
    <row r="141" spans="1:24" ht="23.25" customHeight="1" x14ac:dyDescent="0.25">
      <c r="A141" s="29"/>
      <c r="B141" s="32"/>
      <c r="C141" s="35"/>
      <c r="D141" s="38"/>
      <c r="E141" s="41"/>
      <c r="F141" s="44"/>
      <c r="G141" s="48"/>
      <c r="H141" s="4" t="s">
        <v>24</v>
      </c>
      <c r="I141" s="20">
        <f t="shared" ref="I141:T141" si="63">(I139+I140)/2</f>
        <v>5</v>
      </c>
      <c r="J141" s="7">
        <f t="shared" si="63"/>
        <v>0</v>
      </c>
      <c r="K141" s="7">
        <f t="shared" si="63"/>
        <v>4.75</v>
      </c>
      <c r="L141" s="7">
        <f t="shared" si="63"/>
        <v>0</v>
      </c>
      <c r="M141" s="7">
        <f t="shared" si="63"/>
        <v>3.5</v>
      </c>
      <c r="N141" s="7">
        <f t="shared" si="63"/>
        <v>0</v>
      </c>
      <c r="O141" s="7">
        <f t="shared" si="63"/>
        <v>0</v>
      </c>
      <c r="P141" s="7">
        <f t="shared" si="63"/>
        <v>0</v>
      </c>
      <c r="Q141" s="7">
        <f t="shared" si="63"/>
        <v>0</v>
      </c>
      <c r="R141" s="7">
        <f t="shared" si="63"/>
        <v>0</v>
      </c>
      <c r="S141" s="7">
        <f t="shared" si="63"/>
        <v>7</v>
      </c>
      <c r="T141" s="7">
        <f t="shared" si="63"/>
        <v>5.625</v>
      </c>
      <c r="U141" s="6"/>
      <c r="V141" s="17">
        <f t="shared" si="59"/>
        <v>25.875</v>
      </c>
      <c r="W141" s="17">
        <f t="shared" si="60"/>
        <v>3.234375</v>
      </c>
      <c r="X141" s="8"/>
    </row>
    <row r="142" spans="1:24" ht="23.25" customHeight="1" x14ac:dyDescent="0.25">
      <c r="A142" s="29"/>
      <c r="B142" s="32"/>
      <c r="C142" s="35"/>
      <c r="D142" s="38"/>
      <c r="E142" s="41"/>
      <c r="F142" s="44"/>
      <c r="G142" s="49" t="s">
        <v>37</v>
      </c>
      <c r="H142" s="4" t="s">
        <v>22</v>
      </c>
      <c r="I142" s="19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7">
        <f t="shared" si="59"/>
        <v>0</v>
      </c>
      <c r="W142" s="17">
        <f t="shared" si="60"/>
        <v>0</v>
      </c>
      <c r="X142" s="8"/>
    </row>
    <row r="143" spans="1:24" ht="23.25" customHeight="1" x14ac:dyDescent="0.25">
      <c r="A143" s="29"/>
      <c r="B143" s="32"/>
      <c r="C143" s="35"/>
      <c r="D143" s="38"/>
      <c r="E143" s="41"/>
      <c r="F143" s="44"/>
      <c r="G143" s="47"/>
      <c r="H143" s="4" t="s">
        <v>23</v>
      </c>
      <c r="I143" s="19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7">
        <f t="shared" si="59"/>
        <v>0</v>
      </c>
      <c r="W143" s="17">
        <f t="shared" si="60"/>
        <v>0</v>
      </c>
      <c r="X143" s="8"/>
    </row>
    <row r="144" spans="1:24" ht="23.25" customHeight="1" x14ac:dyDescent="0.25">
      <c r="A144" s="29"/>
      <c r="B144" s="32"/>
      <c r="C144" s="35"/>
      <c r="D144" s="38"/>
      <c r="E144" s="41"/>
      <c r="F144" s="44"/>
      <c r="G144" s="48"/>
      <c r="H144" s="4" t="s">
        <v>25</v>
      </c>
      <c r="I144" s="20">
        <f t="shared" ref="I144:T144" si="64">(I142+I143)/2</f>
        <v>0</v>
      </c>
      <c r="J144" s="7">
        <f t="shared" si="64"/>
        <v>0</v>
      </c>
      <c r="K144" s="7">
        <f t="shared" si="64"/>
        <v>0</v>
      </c>
      <c r="L144" s="7">
        <f t="shared" si="64"/>
        <v>0</v>
      </c>
      <c r="M144" s="7">
        <f t="shared" si="64"/>
        <v>0</v>
      </c>
      <c r="N144" s="7">
        <f t="shared" si="64"/>
        <v>0</v>
      </c>
      <c r="O144" s="7">
        <f t="shared" si="64"/>
        <v>0</v>
      </c>
      <c r="P144" s="7">
        <f t="shared" si="64"/>
        <v>0</v>
      </c>
      <c r="Q144" s="7">
        <f t="shared" si="64"/>
        <v>0</v>
      </c>
      <c r="R144" s="7">
        <f t="shared" si="64"/>
        <v>0</v>
      </c>
      <c r="S144" s="7">
        <f t="shared" si="64"/>
        <v>0</v>
      </c>
      <c r="T144" s="7">
        <f t="shared" si="64"/>
        <v>0</v>
      </c>
      <c r="U144" s="6"/>
      <c r="V144" s="17">
        <f t="shared" si="59"/>
        <v>0</v>
      </c>
      <c r="W144" s="17">
        <f t="shared" si="60"/>
        <v>0</v>
      </c>
      <c r="X144" s="8"/>
    </row>
    <row r="145" spans="1:24" ht="23.25" customHeight="1" thickBot="1" x14ac:dyDescent="0.3">
      <c r="A145" s="30"/>
      <c r="B145" s="33"/>
      <c r="C145" s="36"/>
      <c r="D145" s="39"/>
      <c r="E145" s="52"/>
      <c r="F145" s="45"/>
      <c r="G145" s="50" t="s">
        <v>26</v>
      </c>
      <c r="H145" s="51"/>
      <c r="I145" s="20">
        <f t="shared" ref="I145:T145" si="65">(I141+I144)/2</f>
        <v>2.5</v>
      </c>
      <c r="J145" s="7">
        <f t="shared" si="65"/>
        <v>0</v>
      </c>
      <c r="K145" s="7">
        <f t="shared" si="65"/>
        <v>2.375</v>
      </c>
      <c r="L145" s="7">
        <f t="shared" si="65"/>
        <v>0</v>
      </c>
      <c r="M145" s="7">
        <f t="shared" si="65"/>
        <v>1.75</v>
      </c>
      <c r="N145" s="7">
        <f t="shared" si="65"/>
        <v>0</v>
      </c>
      <c r="O145" s="7">
        <f t="shared" si="65"/>
        <v>0</v>
      </c>
      <c r="P145" s="7">
        <f t="shared" si="65"/>
        <v>0</v>
      </c>
      <c r="Q145" s="7">
        <f t="shared" si="65"/>
        <v>0</v>
      </c>
      <c r="R145" s="7">
        <f t="shared" si="65"/>
        <v>0</v>
      </c>
      <c r="S145" s="7">
        <f t="shared" si="65"/>
        <v>3.5</v>
      </c>
      <c r="T145" s="7">
        <f t="shared" si="65"/>
        <v>2.8125</v>
      </c>
      <c r="U145" s="6"/>
      <c r="V145" s="17">
        <f t="shared" si="59"/>
        <v>12.9375</v>
      </c>
      <c r="W145" s="17">
        <f t="shared" si="60"/>
        <v>1.6171875</v>
      </c>
      <c r="X145" s="8"/>
    </row>
    <row r="146" spans="1:24" ht="23.25" customHeight="1" x14ac:dyDescent="0.25">
      <c r="A146" s="28">
        <v>21</v>
      </c>
      <c r="B146" s="31" t="s">
        <v>29</v>
      </c>
      <c r="C146" s="34" t="s">
        <v>28</v>
      </c>
      <c r="D146" s="37" t="s">
        <v>30</v>
      </c>
      <c r="E146" s="40" t="s">
        <v>41</v>
      </c>
      <c r="F146" s="43" t="s">
        <v>33</v>
      </c>
      <c r="G146" s="46" t="s">
        <v>36</v>
      </c>
      <c r="H146" s="3" t="s">
        <v>22</v>
      </c>
      <c r="I146" s="19">
        <v>10</v>
      </c>
      <c r="J146" s="6">
        <v>11.33</v>
      </c>
      <c r="K146" s="6">
        <v>15</v>
      </c>
      <c r="L146" s="6">
        <v>14.33</v>
      </c>
      <c r="M146" s="6">
        <v>13</v>
      </c>
      <c r="N146" s="6"/>
      <c r="O146" s="6">
        <v>13.33</v>
      </c>
      <c r="P146" s="6"/>
      <c r="Q146" s="6"/>
      <c r="R146" s="6"/>
      <c r="S146" s="6">
        <v>8.66</v>
      </c>
      <c r="T146" s="6">
        <v>12</v>
      </c>
      <c r="U146" s="6"/>
      <c r="V146" s="17">
        <f t="shared" si="59"/>
        <v>97.649999999999991</v>
      </c>
      <c r="W146" s="17">
        <f t="shared" si="60"/>
        <v>12.206249999999999</v>
      </c>
      <c r="X146" s="8"/>
    </row>
    <row r="147" spans="1:24" ht="23.25" customHeight="1" x14ac:dyDescent="0.25">
      <c r="A147" s="29"/>
      <c r="B147" s="32"/>
      <c r="C147" s="35"/>
      <c r="D147" s="38"/>
      <c r="E147" s="41"/>
      <c r="F147" s="44"/>
      <c r="G147" s="47"/>
      <c r="H147" s="4" t="s">
        <v>23</v>
      </c>
      <c r="I147" s="19">
        <v>6</v>
      </c>
      <c r="J147" s="6">
        <v>9</v>
      </c>
      <c r="K147" s="6">
        <v>6</v>
      </c>
      <c r="L147" s="6">
        <v>8.75</v>
      </c>
      <c r="M147" s="6">
        <v>16</v>
      </c>
      <c r="N147" s="6"/>
      <c r="O147" s="6">
        <v>6</v>
      </c>
      <c r="P147" s="6"/>
      <c r="Q147" s="6"/>
      <c r="R147" s="6"/>
      <c r="S147" s="6">
        <v>7</v>
      </c>
      <c r="T147" s="6">
        <v>12</v>
      </c>
      <c r="U147" s="6"/>
      <c r="V147" s="17">
        <f t="shared" si="59"/>
        <v>70.75</v>
      </c>
      <c r="W147" s="17">
        <f t="shared" si="60"/>
        <v>8.84375</v>
      </c>
      <c r="X147" s="8"/>
    </row>
    <row r="148" spans="1:24" ht="23.25" customHeight="1" x14ac:dyDescent="0.25">
      <c r="A148" s="29"/>
      <c r="B148" s="32"/>
      <c r="C148" s="35"/>
      <c r="D148" s="38"/>
      <c r="E148" s="41"/>
      <c r="F148" s="44"/>
      <c r="G148" s="48"/>
      <c r="H148" s="4" t="s">
        <v>24</v>
      </c>
      <c r="I148" s="20">
        <f t="shared" ref="I148:T148" si="66">(I146+I147)/2</f>
        <v>8</v>
      </c>
      <c r="J148" s="7">
        <f t="shared" si="66"/>
        <v>10.164999999999999</v>
      </c>
      <c r="K148" s="7">
        <f t="shared" si="66"/>
        <v>10.5</v>
      </c>
      <c r="L148" s="7">
        <f t="shared" si="66"/>
        <v>11.54</v>
      </c>
      <c r="M148" s="7">
        <f t="shared" si="66"/>
        <v>14.5</v>
      </c>
      <c r="N148" s="7">
        <f t="shared" si="66"/>
        <v>0</v>
      </c>
      <c r="O148" s="7">
        <f t="shared" si="66"/>
        <v>9.6649999999999991</v>
      </c>
      <c r="P148" s="7">
        <f t="shared" si="66"/>
        <v>0</v>
      </c>
      <c r="Q148" s="7">
        <f t="shared" si="66"/>
        <v>0</v>
      </c>
      <c r="R148" s="7">
        <f t="shared" si="66"/>
        <v>0</v>
      </c>
      <c r="S148" s="7">
        <f t="shared" si="66"/>
        <v>7.83</v>
      </c>
      <c r="T148" s="7">
        <f t="shared" si="66"/>
        <v>12</v>
      </c>
      <c r="U148" s="6"/>
      <c r="V148" s="17">
        <f t="shared" si="59"/>
        <v>84.2</v>
      </c>
      <c r="W148" s="17">
        <f t="shared" si="60"/>
        <v>10.525</v>
      </c>
      <c r="X148" s="8"/>
    </row>
    <row r="149" spans="1:24" ht="23.25" customHeight="1" x14ac:dyDescent="0.25">
      <c r="A149" s="29"/>
      <c r="B149" s="32"/>
      <c r="C149" s="35"/>
      <c r="D149" s="38"/>
      <c r="E149" s="41"/>
      <c r="F149" s="44"/>
      <c r="G149" s="49" t="s">
        <v>37</v>
      </c>
      <c r="H149" s="4" t="s">
        <v>22</v>
      </c>
      <c r="I149" s="19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7">
        <f t="shared" si="59"/>
        <v>0</v>
      </c>
      <c r="W149" s="17">
        <f t="shared" si="60"/>
        <v>0</v>
      </c>
      <c r="X149" s="8"/>
    </row>
    <row r="150" spans="1:24" ht="23.25" customHeight="1" x14ac:dyDescent="0.25">
      <c r="A150" s="29"/>
      <c r="B150" s="32"/>
      <c r="C150" s="35"/>
      <c r="D150" s="38"/>
      <c r="E150" s="41"/>
      <c r="F150" s="44"/>
      <c r="G150" s="47"/>
      <c r="H150" s="4" t="s">
        <v>23</v>
      </c>
      <c r="I150" s="19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7">
        <f t="shared" si="59"/>
        <v>0</v>
      </c>
      <c r="W150" s="17">
        <f t="shared" si="60"/>
        <v>0</v>
      </c>
      <c r="X150" s="8"/>
    </row>
    <row r="151" spans="1:24" ht="23.25" customHeight="1" x14ac:dyDescent="0.25">
      <c r="A151" s="29"/>
      <c r="B151" s="32"/>
      <c r="C151" s="35"/>
      <c r="D151" s="38"/>
      <c r="E151" s="41"/>
      <c r="F151" s="44"/>
      <c r="G151" s="48"/>
      <c r="H151" s="4" t="s">
        <v>25</v>
      </c>
      <c r="I151" s="20">
        <f t="shared" ref="I151:T151" si="67">(I149+I150)/2</f>
        <v>0</v>
      </c>
      <c r="J151" s="7">
        <f t="shared" si="67"/>
        <v>0</v>
      </c>
      <c r="K151" s="7">
        <f t="shared" si="67"/>
        <v>0</v>
      </c>
      <c r="L151" s="7">
        <f t="shared" si="67"/>
        <v>0</v>
      </c>
      <c r="M151" s="7">
        <f t="shared" si="67"/>
        <v>0</v>
      </c>
      <c r="N151" s="7">
        <f t="shared" si="67"/>
        <v>0</v>
      </c>
      <c r="O151" s="7">
        <f t="shared" si="67"/>
        <v>0</v>
      </c>
      <c r="P151" s="7">
        <f t="shared" si="67"/>
        <v>0</v>
      </c>
      <c r="Q151" s="7">
        <f t="shared" si="67"/>
        <v>0</v>
      </c>
      <c r="R151" s="7">
        <f t="shared" si="67"/>
        <v>0</v>
      </c>
      <c r="S151" s="7">
        <f t="shared" si="67"/>
        <v>0</v>
      </c>
      <c r="T151" s="7">
        <f t="shared" si="67"/>
        <v>0</v>
      </c>
      <c r="U151" s="6"/>
      <c r="V151" s="17">
        <f t="shared" si="59"/>
        <v>0</v>
      </c>
      <c r="W151" s="17">
        <f t="shared" si="60"/>
        <v>0</v>
      </c>
      <c r="X151" s="8"/>
    </row>
    <row r="152" spans="1:24" ht="23.25" customHeight="1" thickBot="1" x14ac:dyDescent="0.3">
      <c r="A152" s="30"/>
      <c r="B152" s="33"/>
      <c r="C152" s="36"/>
      <c r="D152" s="39"/>
      <c r="E152" s="52"/>
      <c r="F152" s="45"/>
      <c r="G152" s="50" t="s">
        <v>26</v>
      </c>
      <c r="H152" s="51"/>
      <c r="I152" s="20">
        <f t="shared" ref="I152:T152" si="68">(I148+I151)/2</f>
        <v>4</v>
      </c>
      <c r="J152" s="7">
        <f t="shared" si="68"/>
        <v>5.0824999999999996</v>
      </c>
      <c r="K152" s="7">
        <f t="shared" si="68"/>
        <v>5.25</v>
      </c>
      <c r="L152" s="7">
        <f t="shared" si="68"/>
        <v>5.77</v>
      </c>
      <c r="M152" s="7">
        <f t="shared" si="68"/>
        <v>7.25</v>
      </c>
      <c r="N152" s="7">
        <f t="shared" si="68"/>
        <v>0</v>
      </c>
      <c r="O152" s="7">
        <f t="shared" si="68"/>
        <v>4.8324999999999996</v>
      </c>
      <c r="P152" s="7">
        <f t="shared" si="68"/>
        <v>0</v>
      </c>
      <c r="Q152" s="7">
        <f t="shared" si="68"/>
        <v>0</v>
      </c>
      <c r="R152" s="7">
        <f t="shared" si="68"/>
        <v>0</v>
      </c>
      <c r="S152" s="7">
        <f t="shared" si="68"/>
        <v>3.915</v>
      </c>
      <c r="T152" s="7">
        <f t="shared" si="68"/>
        <v>6</v>
      </c>
      <c r="U152" s="6"/>
      <c r="V152" s="17">
        <f t="shared" si="59"/>
        <v>42.1</v>
      </c>
      <c r="W152" s="17">
        <f t="shared" si="60"/>
        <v>5.2625000000000002</v>
      </c>
      <c r="X152" s="8"/>
    </row>
    <row r="153" spans="1:24" ht="23.25" customHeight="1" x14ac:dyDescent="0.25">
      <c r="A153" s="28">
        <v>22</v>
      </c>
      <c r="B153" s="31" t="s">
        <v>29</v>
      </c>
      <c r="C153" s="34" t="s">
        <v>28</v>
      </c>
      <c r="D153" s="37" t="s">
        <v>30</v>
      </c>
      <c r="E153" s="40" t="s">
        <v>42</v>
      </c>
      <c r="F153" s="43" t="s">
        <v>33</v>
      </c>
      <c r="G153" s="46" t="s">
        <v>36</v>
      </c>
      <c r="H153" s="3" t="s">
        <v>22</v>
      </c>
      <c r="I153" s="19">
        <v>10.67</v>
      </c>
      <c r="J153" s="6">
        <v>10.66</v>
      </c>
      <c r="K153" s="6">
        <v>14.5</v>
      </c>
      <c r="L153" s="6">
        <v>16</v>
      </c>
      <c r="M153" s="6">
        <v>16.16</v>
      </c>
      <c r="N153" s="6"/>
      <c r="O153" s="6">
        <v>12.66</v>
      </c>
      <c r="P153" s="6"/>
      <c r="Q153" s="6"/>
      <c r="R153" s="6"/>
      <c r="S153" s="6">
        <v>8.66</v>
      </c>
      <c r="T153" s="6">
        <v>12.5</v>
      </c>
      <c r="U153" s="6"/>
      <c r="V153" s="17">
        <f t="shared" si="59"/>
        <v>101.80999999999999</v>
      </c>
      <c r="W153" s="17">
        <f t="shared" si="60"/>
        <v>12.726249999999999</v>
      </c>
      <c r="X153" s="8"/>
    </row>
    <row r="154" spans="1:24" ht="23.25" customHeight="1" x14ac:dyDescent="0.25">
      <c r="A154" s="29"/>
      <c r="B154" s="32"/>
      <c r="C154" s="35"/>
      <c r="D154" s="38"/>
      <c r="E154" s="41"/>
      <c r="F154" s="44"/>
      <c r="G154" s="47"/>
      <c r="H154" s="4" t="s">
        <v>23</v>
      </c>
      <c r="I154" s="19">
        <v>7</v>
      </c>
      <c r="J154" s="6">
        <v>9</v>
      </c>
      <c r="K154" s="6">
        <v>6</v>
      </c>
      <c r="L154" s="6">
        <v>15.75</v>
      </c>
      <c r="M154" s="6">
        <v>15</v>
      </c>
      <c r="N154" s="6"/>
      <c r="O154" s="6">
        <v>12.5</v>
      </c>
      <c r="P154" s="6"/>
      <c r="Q154" s="6"/>
      <c r="R154" s="6"/>
      <c r="S154" s="6">
        <v>10</v>
      </c>
      <c r="T154" s="6">
        <v>17</v>
      </c>
      <c r="U154" s="6"/>
      <c r="V154" s="17">
        <f t="shared" si="59"/>
        <v>92.25</v>
      </c>
      <c r="W154" s="17">
        <f t="shared" si="60"/>
        <v>11.53125</v>
      </c>
      <c r="X154" s="8"/>
    </row>
    <row r="155" spans="1:24" ht="23.25" customHeight="1" x14ac:dyDescent="0.25">
      <c r="A155" s="29"/>
      <c r="B155" s="32"/>
      <c r="C155" s="35"/>
      <c r="D155" s="38"/>
      <c r="E155" s="41"/>
      <c r="F155" s="44"/>
      <c r="G155" s="48"/>
      <c r="H155" s="4" t="s">
        <v>24</v>
      </c>
      <c r="I155" s="20">
        <f t="shared" ref="I155:T155" si="69">(I153+I154)/2</f>
        <v>8.8350000000000009</v>
      </c>
      <c r="J155" s="7">
        <f t="shared" si="69"/>
        <v>9.83</v>
      </c>
      <c r="K155" s="7">
        <f t="shared" si="69"/>
        <v>10.25</v>
      </c>
      <c r="L155" s="7">
        <f t="shared" si="69"/>
        <v>15.875</v>
      </c>
      <c r="M155" s="7">
        <f t="shared" si="69"/>
        <v>15.58</v>
      </c>
      <c r="N155" s="7">
        <f t="shared" si="69"/>
        <v>0</v>
      </c>
      <c r="O155" s="7">
        <f t="shared" si="69"/>
        <v>12.58</v>
      </c>
      <c r="P155" s="7">
        <f t="shared" si="69"/>
        <v>0</v>
      </c>
      <c r="Q155" s="7">
        <f t="shared" si="69"/>
        <v>0</v>
      </c>
      <c r="R155" s="7">
        <f t="shared" si="69"/>
        <v>0</v>
      </c>
      <c r="S155" s="7">
        <f t="shared" si="69"/>
        <v>9.33</v>
      </c>
      <c r="T155" s="7">
        <f t="shared" si="69"/>
        <v>14.75</v>
      </c>
      <c r="U155" s="6"/>
      <c r="V155" s="17">
        <f t="shared" si="59"/>
        <v>97.03</v>
      </c>
      <c r="W155" s="17">
        <f t="shared" si="60"/>
        <v>12.12875</v>
      </c>
      <c r="X155" s="8"/>
    </row>
    <row r="156" spans="1:24" ht="23.25" customHeight="1" x14ac:dyDescent="0.25">
      <c r="A156" s="29"/>
      <c r="B156" s="32"/>
      <c r="C156" s="35"/>
      <c r="D156" s="38"/>
      <c r="E156" s="41"/>
      <c r="F156" s="44"/>
      <c r="G156" s="49" t="s">
        <v>37</v>
      </c>
      <c r="H156" s="4" t="s">
        <v>22</v>
      </c>
      <c r="I156" s="19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7">
        <f t="shared" si="59"/>
        <v>0</v>
      </c>
      <c r="W156" s="17">
        <f t="shared" si="60"/>
        <v>0</v>
      </c>
      <c r="X156" s="8"/>
    </row>
    <row r="157" spans="1:24" ht="23.25" customHeight="1" x14ac:dyDescent="0.25">
      <c r="A157" s="29"/>
      <c r="B157" s="32"/>
      <c r="C157" s="35"/>
      <c r="D157" s="38"/>
      <c r="E157" s="41"/>
      <c r="F157" s="44"/>
      <c r="G157" s="47"/>
      <c r="H157" s="4" t="s">
        <v>23</v>
      </c>
      <c r="I157" s="19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7">
        <f t="shared" si="59"/>
        <v>0</v>
      </c>
      <c r="W157" s="17">
        <f t="shared" si="60"/>
        <v>0</v>
      </c>
      <c r="X157" s="8"/>
    </row>
    <row r="158" spans="1:24" ht="23.25" customHeight="1" x14ac:dyDescent="0.25">
      <c r="A158" s="29"/>
      <c r="B158" s="32"/>
      <c r="C158" s="35"/>
      <c r="D158" s="38"/>
      <c r="E158" s="41"/>
      <c r="F158" s="44"/>
      <c r="G158" s="48"/>
      <c r="H158" s="4" t="s">
        <v>25</v>
      </c>
      <c r="I158" s="20">
        <f t="shared" ref="I158:T158" si="70">(I156+I157)/2</f>
        <v>0</v>
      </c>
      <c r="J158" s="7">
        <f t="shared" si="70"/>
        <v>0</v>
      </c>
      <c r="K158" s="7">
        <f t="shared" si="70"/>
        <v>0</v>
      </c>
      <c r="L158" s="7">
        <f t="shared" si="70"/>
        <v>0</v>
      </c>
      <c r="M158" s="7">
        <f t="shared" si="70"/>
        <v>0</v>
      </c>
      <c r="N158" s="7">
        <f t="shared" si="70"/>
        <v>0</v>
      </c>
      <c r="O158" s="7">
        <f t="shared" si="70"/>
        <v>0</v>
      </c>
      <c r="P158" s="7">
        <f t="shared" si="70"/>
        <v>0</v>
      </c>
      <c r="Q158" s="7">
        <f t="shared" si="70"/>
        <v>0</v>
      </c>
      <c r="R158" s="7">
        <f t="shared" si="70"/>
        <v>0</v>
      </c>
      <c r="S158" s="7">
        <f t="shared" si="70"/>
        <v>0</v>
      </c>
      <c r="T158" s="7">
        <f t="shared" si="70"/>
        <v>0</v>
      </c>
      <c r="U158" s="6"/>
      <c r="V158" s="17">
        <f t="shared" si="59"/>
        <v>0</v>
      </c>
      <c r="W158" s="17">
        <f t="shared" si="60"/>
        <v>0</v>
      </c>
      <c r="X158" s="8"/>
    </row>
    <row r="159" spans="1:24" ht="23.25" customHeight="1" thickBot="1" x14ac:dyDescent="0.3">
      <c r="A159" s="30"/>
      <c r="B159" s="33"/>
      <c r="C159" s="36"/>
      <c r="D159" s="39"/>
      <c r="E159" s="52"/>
      <c r="F159" s="45"/>
      <c r="G159" s="50" t="s">
        <v>26</v>
      </c>
      <c r="H159" s="51"/>
      <c r="I159" s="20">
        <f t="shared" ref="I159:T159" si="71">(I155+I158)/2</f>
        <v>4.4175000000000004</v>
      </c>
      <c r="J159" s="7">
        <f t="shared" si="71"/>
        <v>4.915</v>
      </c>
      <c r="K159" s="7">
        <f t="shared" si="71"/>
        <v>5.125</v>
      </c>
      <c r="L159" s="7">
        <f t="shared" si="71"/>
        <v>7.9375</v>
      </c>
      <c r="M159" s="7">
        <f t="shared" si="71"/>
        <v>7.79</v>
      </c>
      <c r="N159" s="7">
        <f t="shared" si="71"/>
        <v>0</v>
      </c>
      <c r="O159" s="7">
        <f t="shared" si="71"/>
        <v>6.29</v>
      </c>
      <c r="P159" s="7">
        <f t="shared" si="71"/>
        <v>0</v>
      </c>
      <c r="Q159" s="7">
        <f t="shared" si="71"/>
        <v>0</v>
      </c>
      <c r="R159" s="7">
        <f t="shared" si="71"/>
        <v>0</v>
      </c>
      <c r="S159" s="7">
        <f t="shared" si="71"/>
        <v>4.665</v>
      </c>
      <c r="T159" s="7">
        <f t="shared" si="71"/>
        <v>7.375</v>
      </c>
      <c r="U159" s="6"/>
      <c r="V159" s="17">
        <f t="shared" si="59"/>
        <v>48.515000000000001</v>
      </c>
      <c r="W159" s="17">
        <f t="shared" si="60"/>
        <v>6.0643750000000001</v>
      </c>
      <c r="X159" s="8"/>
    </row>
    <row r="160" spans="1:24" ht="23.25" customHeight="1" x14ac:dyDescent="0.25">
      <c r="A160" s="28">
        <v>23</v>
      </c>
      <c r="B160" s="31" t="s">
        <v>29</v>
      </c>
      <c r="C160" s="34" t="s">
        <v>28</v>
      </c>
      <c r="D160" s="37" t="s">
        <v>30</v>
      </c>
      <c r="E160" s="40" t="s">
        <v>63</v>
      </c>
      <c r="F160" s="43" t="s">
        <v>33</v>
      </c>
      <c r="G160" s="46" t="s">
        <v>36</v>
      </c>
      <c r="H160" s="3" t="s">
        <v>22</v>
      </c>
      <c r="I160" s="19">
        <v>0</v>
      </c>
      <c r="J160" s="6">
        <v>0</v>
      </c>
      <c r="K160" s="6">
        <v>0</v>
      </c>
      <c r="L160" s="6">
        <v>0</v>
      </c>
      <c r="M160" s="6">
        <v>0</v>
      </c>
      <c r="N160" s="6"/>
      <c r="O160" s="6">
        <v>13.16</v>
      </c>
      <c r="P160" s="6"/>
      <c r="Q160" s="6"/>
      <c r="R160" s="6"/>
      <c r="S160" s="6">
        <v>0</v>
      </c>
      <c r="T160" s="6">
        <v>0</v>
      </c>
      <c r="U160" s="6"/>
      <c r="V160" s="17">
        <f t="shared" si="59"/>
        <v>13.16</v>
      </c>
      <c r="W160" s="17">
        <f t="shared" si="60"/>
        <v>1.645</v>
      </c>
      <c r="X160" s="8"/>
    </row>
    <row r="161" spans="1:24" ht="23.25" customHeight="1" x14ac:dyDescent="0.25">
      <c r="A161" s="29"/>
      <c r="B161" s="32"/>
      <c r="C161" s="35"/>
      <c r="D161" s="38"/>
      <c r="E161" s="41"/>
      <c r="F161" s="44"/>
      <c r="G161" s="47"/>
      <c r="H161" s="4" t="s">
        <v>23</v>
      </c>
      <c r="I161" s="19">
        <v>0</v>
      </c>
      <c r="J161" s="6">
        <v>0</v>
      </c>
      <c r="K161" s="6">
        <v>0</v>
      </c>
      <c r="L161" s="6">
        <v>0</v>
      </c>
      <c r="M161" s="6">
        <v>0</v>
      </c>
      <c r="N161" s="6"/>
      <c r="O161" s="6">
        <v>9</v>
      </c>
      <c r="P161" s="6"/>
      <c r="Q161" s="6"/>
      <c r="R161" s="6"/>
      <c r="S161" s="6">
        <v>0</v>
      </c>
      <c r="T161" s="6">
        <v>0</v>
      </c>
      <c r="U161" s="6"/>
      <c r="V161" s="17">
        <f t="shared" si="59"/>
        <v>9</v>
      </c>
      <c r="W161" s="17">
        <f t="shared" si="60"/>
        <v>1.125</v>
      </c>
      <c r="X161" s="8"/>
    </row>
    <row r="162" spans="1:24" ht="23.25" customHeight="1" x14ac:dyDescent="0.25">
      <c r="A162" s="29"/>
      <c r="B162" s="32"/>
      <c r="C162" s="35"/>
      <c r="D162" s="38"/>
      <c r="E162" s="41"/>
      <c r="F162" s="44"/>
      <c r="G162" s="48"/>
      <c r="H162" s="4" t="s">
        <v>24</v>
      </c>
      <c r="I162" s="20">
        <f t="shared" ref="I162:T162" si="72">(I160+I161)/2</f>
        <v>0</v>
      </c>
      <c r="J162" s="7">
        <f t="shared" si="72"/>
        <v>0</v>
      </c>
      <c r="K162" s="7">
        <f t="shared" si="72"/>
        <v>0</v>
      </c>
      <c r="L162" s="7">
        <f t="shared" si="72"/>
        <v>0</v>
      </c>
      <c r="M162" s="7">
        <f t="shared" si="72"/>
        <v>0</v>
      </c>
      <c r="N162" s="7">
        <f t="shared" si="72"/>
        <v>0</v>
      </c>
      <c r="O162" s="7">
        <f t="shared" si="72"/>
        <v>11.08</v>
      </c>
      <c r="P162" s="7">
        <f t="shared" si="72"/>
        <v>0</v>
      </c>
      <c r="Q162" s="7">
        <f t="shared" si="72"/>
        <v>0</v>
      </c>
      <c r="R162" s="7">
        <f t="shared" si="72"/>
        <v>0</v>
      </c>
      <c r="S162" s="7">
        <f t="shared" si="72"/>
        <v>0</v>
      </c>
      <c r="T162" s="7">
        <f t="shared" si="72"/>
        <v>0</v>
      </c>
      <c r="U162" s="6"/>
      <c r="V162" s="17">
        <f t="shared" si="59"/>
        <v>11.08</v>
      </c>
      <c r="W162" s="17">
        <f t="shared" si="60"/>
        <v>1.385</v>
      </c>
      <c r="X162" s="8"/>
    </row>
    <row r="163" spans="1:24" ht="23.25" customHeight="1" x14ac:dyDescent="0.25">
      <c r="A163" s="29"/>
      <c r="B163" s="32"/>
      <c r="C163" s="35"/>
      <c r="D163" s="38"/>
      <c r="E163" s="41"/>
      <c r="F163" s="44"/>
      <c r="G163" s="49" t="s">
        <v>37</v>
      </c>
      <c r="H163" s="4" t="s">
        <v>22</v>
      </c>
      <c r="I163" s="19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7">
        <f t="shared" si="59"/>
        <v>0</v>
      </c>
      <c r="W163" s="17">
        <f t="shared" si="60"/>
        <v>0</v>
      </c>
      <c r="X163" s="8"/>
    </row>
    <row r="164" spans="1:24" ht="23.25" customHeight="1" x14ac:dyDescent="0.25">
      <c r="A164" s="29"/>
      <c r="B164" s="32"/>
      <c r="C164" s="35"/>
      <c r="D164" s="38"/>
      <c r="E164" s="41"/>
      <c r="F164" s="44"/>
      <c r="G164" s="47"/>
      <c r="H164" s="4" t="s">
        <v>23</v>
      </c>
      <c r="I164" s="19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7">
        <f t="shared" si="59"/>
        <v>0</v>
      </c>
      <c r="W164" s="17">
        <f t="shared" si="60"/>
        <v>0</v>
      </c>
      <c r="X164" s="8"/>
    </row>
    <row r="165" spans="1:24" ht="23.25" customHeight="1" x14ac:dyDescent="0.25">
      <c r="A165" s="29"/>
      <c r="B165" s="32"/>
      <c r="C165" s="35"/>
      <c r="D165" s="38"/>
      <c r="E165" s="41"/>
      <c r="F165" s="44"/>
      <c r="G165" s="48"/>
      <c r="H165" s="4" t="s">
        <v>25</v>
      </c>
      <c r="I165" s="20">
        <f t="shared" ref="I165:T165" si="73">(I163+I164)/2</f>
        <v>0</v>
      </c>
      <c r="J165" s="7">
        <f t="shared" si="73"/>
        <v>0</v>
      </c>
      <c r="K165" s="7">
        <f t="shared" si="73"/>
        <v>0</v>
      </c>
      <c r="L165" s="7">
        <f t="shared" si="73"/>
        <v>0</v>
      </c>
      <c r="M165" s="7">
        <f t="shared" si="73"/>
        <v>0</v>
      </c>
      <c r="N165" s="7">
        <f t="shared" si="73"/>
        <v>0</v>
      </c>
      <c r="O165" s="7">
        <f t="shared" si="73"/>
        <v>0</v>
      </c>
      <c r="P165" s="7">
        <f t="shared" si="73"/>
        <v>0</v>
      </c>
      <c r="Q165" s="7">
        <f t="shared" si="73"/>
        <v>0</v>
      </c>
      <c r="R165" s="7">
        <f t="shared" si="73"/>
        <v>0</v>
      </c>
      <c r="S165" s="7">
        <f t="shared" si="73"/>
        <v>0</v>
      </c>
      <c r="T165" s="7">
        <f t="shared" si="73"/>
        <v>0</v>
      </c>
      <c r="U165" s="6"/>
      <c r="V165" s="17">
        <f t="shared" si="59"/>
        <v>0</v>
      </c>
      <c r="W165" s="17">
        <f t="shared" si="60"/>
        <v>0</v>
      </c>
      <c r="X165" s="8"/>
    </row>
    <row r="166" spans="1:24" ht="23.25" customHeight="1" thickBot="1" x14ac:dyDescent="0.3">
      <c r="A166" s="30"/>
      <c r="B166" s="33"/>
      <c r="C166" s="36"/>
      <c r="D166" s="39"/>
      <c r="E166" s="52"/>
      <c r="F166" s="45"/>
      <c r="G166" s="50" t="s">
        <v>26</v>
      </c>
      <c r="H166" s="51"/>
      <c r="I166" s="20">
        <f t="shared" ref="I166:T166" si="74">(I162+I165)/2</f>
        <v>0</v>
      </c>
      <c r="J166" s="7">
        <f t="shared" si="74"/>
        <v>0</v>
      </c>
      <c r="K166" s="7">
        <f t="shared" si="74"/>
        <v>0</v>
      </c>
      <c r="L166" s="7">
        <f t="shared" si="74"/>
        <v>0</v>
      </c>
      <c r="M166" s="7">
        <f t="shared" si="74"/>
        <v>0</v>
      </c>
      <c r="N166" s="7">
        <f t="shared" si="74"/>
        <v>0</v>
      </c>
      <c r="O166" s="7">
        <f t="shared" si="74"/>
        <v>5.54</v>
      </c>
      <c r="P166" s="7">
        <f t="shared" si="74"/>
        <v>0</v>
      </c>
      <c r="Q166" s="7">
        <f t="shared" si="74"/>
        <v>0</v>
      </c>
      <c r="R166" s="7">
        <f t="shared" si="74"/>
        <v>0</v>
      </c>
      <c r="S166" s="7">
        <f t="shared" si="74"/>
        <v>0</v>
      </c>
      <c r="T166" s="7">
        <f t="shared" si="74"/>
        <v>0</v>
      </c>
      <c r="U166" s="6"/>
      <c r="V166" s="17">
        <f t="shared" si="59"/>
        <v>5.54</v>
      </c>
      <c r="W166" s="17">
        <f t="shared" si="60"/>
        <v>0.6925</v>
      </c>
      <c r="X166" s="8"/>
    </row>
    <row r="167" spans="1:24" ht="23.25" customHeight="1" x14ac:dyDescent="0.25">
      <c r="A167" s="28">
        <v>24</v>
      </c>
      <c r="B167" s="31" t="s">
        <v>29</v>
      </c>
      <c r="C167" s="34" t="s">
        <v>28</v>
      </c>
      <c r="D167" s="37" t="s">
        <v>30</v>
      </c>
      <c r="E167" s="40" t="s">
        <v>64</v>
      </c>
      <c r="F167" s="43" t="s">
        <v>32</v>
      </c>
      <c r="G167" s="46" t="s">
        <v>36</v>
      </c>
      <c r="H167" s="3" t="s">
        <v>22</v>
      </c>
      <c r="I167" s="19">
        <v>10</v>
      </c>
      <c r="J167" s="6">
        <v>10.33</v>
      </c>
      <c r="K167" s="6">
        <v>12</v>
      </c>
      <c r="L167" s="6">
        <v>14.83</v>
      </c>
      <c r="M167" s="6">
        <v>10.66</v>
      </c>
      <c r="N167" s="6"/>
      <c r="O167" s="6">
        <v>13.16</v>
      </c>
      <c r="P167" s="6"/>
      <c r="Q167" s="6"/>
      <c r="R167" s="6"/>
      <c r="S167" s="6">
        <v>11.33</v>
      </c>
      <c r="T167" s="6">
        <v>12.5</v>
      </c>
      <c r="U167" s="6"/>
      <c r="V167" s="17">
        <f t="shared" si="59"/>
        <v>94.809999999999988</v>
      </c>
      <c r="W167" s="17">
        <f t="shared" si="60"/>
        <v>11.851249999999999</v>
      </c>
      <c r="X167" s="8"/>
    </row>
    <row r="168" spans="1:24" ht="23.25" customHeight="1" x14ac:dyDescent="0.25">
      <c r="A168" s="29"/>
      <c r="B168" s="32"/>
      <c r="C168" s="35"/>
      <c r="D168" s="38"/>
      <c r="E168" s="41"/>
      <c r="F168" s="44"/>
      <c r="G168" s="47"/>
      <c r="H168" s="4" t="s">
        <v>23</v>
      </c>
      <c r="I168" s="19">
        <v>8</v>
      </c>
      <c r="J168" s="6">
        <v>10</v>
      </c>
      <c r="K168" s="6">
        <v>7</v>
      </c>
      <c r="L168" s="6">
        <v>9.25</v>
      </c>
      <c r="M168" s="6">
        <v>14</v>
      </c>
      <c r="N168" s="6"/>
      <c r="O168" s="6">
        <v>9</v>
      </c>
      <c r="P168" s="6"/>
      <c r="Q168" s="6"/>
      <c r="R168" s="6"/>
      <c r="S168" s="6">
        <v>5</v>
      </c>
      <c r="T168" s="6">
        <v>12</v>
      </c>
      <c r="U168" s="6"/>
      <c r="V168" s="17">
        <f t="shared" si="59"/>
        <v>74.25</v>
      </c>
      <c r="W168" s="17">
        <f t="shared" si="60"/>
        <v>9.28125</v>
      </c>
      <c r="X168" s="8"/>
    </row>
    <row r="169" spans="1:24" ht="23.25" customHeight="1" x14ac:dyDescent="0.25">
      <c r="A169" s="29"/>
      <c r="B169" s="32"/>
      <c r="C169" s="35"/>
      <c r="D169" s="38"/>
      <c r="E169" s="41"/>
      <c r="F169" s="44"/>
      <c r="G169" s="48"/>
      <c r="H169" s="4" t="s">
        <v>24</v>
      </c>
      <c r="I169" s="20">
        <f t="shared" ref="I169:T169" si="75">(I167+I168)/2</f>
        <v>9</v>
      </c>
      <c r="J169" s="7">
        <f t="shared" si="75"/>
        <v>10.164999999999999</v>
      </c>
      <c r="K169" s="7">
        <f t="shared" si="75"/>
        <v>9.5</v>
      </c>
      <c r="L169" s="7">
        <f t="shared" si="75"/>
        <v>12.04</v>
      </c>
      <c r="M169" s="7">
        <f t="shared" si="75"/>
        <v>12.33</v>
      </c>
      <c r="N169" s="7">
        <f t="shared" si="75"/>
        <v>0</v>
      </c>
      <c r="O169" s="7">
        <f t="shared" si="75"/>
        <v>11.08</v>
      </c>
      <c r="P169" s="7">
        <f t="shared" si="75"/>
        <v>0</v>
      </c>
      <c r="Q169" s="7">
        <f t="shared" si="75"/>
        <v>0</v>
      </c>
      <c r="R169" s="7">
        <f t="shared" si="75"/>
        <v>0</v>
      </c>
      <c r="S169" s="7">
        <f t="shared" si="75"/>
        <v>8.1649999999999991</v>
      </c>
      <c r="T169" s="7">
        <f t="shared" si="75"/>
        <v>12.25</v>
      </c>
      <c r="U169" s="6"/>
      <c r="V169" s="17">
        <f t="shared" si="59"/>
        <v>84.53</v>
      </c>
      <c r="W169" s="17">
        <f t="shared" si="60"/>
        <v>10.56625</v>
      </c>
      <c r="X169" s="8"/>
    </row>
    <row r="170" spans="1:24" ht="23.25" customHeight="1" x14ac:dyDescent="0.25">
      <c r="A170" s="29"/>
      <c r="B170" s="32"/>
      <c r="C170" s="35"/>
      <c r="D170" s="38"/>
      <c r="E170" s="41"/>
      <c r="F170" s="44"/>
      <c r="G170" s="49" t="s">
        <v>37</v>
      </c>
      <c r="H170" s="4" t="s">
        <v>22</v>
      </c>
      <c r="I170" s="19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7">
        <f t="shared" si="59"/>
        <v>0</v>
      </c>
      <c r="W170" s="17">
        <f t="shared" si="60"/>
        <v>0</v>
      </c>
      <c r="X170" s="8"/>
    </row>
    <row r="171" spans="1:24" ht="23.25" customHeight="1" x14ac:dyDescent="0.25">
      <c r="A171" s="29"/>
      <c r="B171" s="32"/>
      <c r="C171" s="35"/>
      <c r="D171" s="38"/>
      <c r="E171" s="41"/>
      <c r="F171" s="44"/>
      <c r="G171" s="47"/>
      <c r="H171" s="4" t="s">
        <v>23</v>
      </c>
      <c r="I171" s="19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7">
        <f t="shared" si="59"/>
        <v>0</v>
      </c>
      <c r="W171" s="17">
        <f t="shared" si="60"/>
        <v>0</v>
      </c>
      <c r="X171" s="8"/>
    </row>
    <row r="172" spans="1:24" ht="23.25" customHeight="1" x14ac:dyDescent="0.25">
      <c r="A172" s="29"/>
      <c r="B172" s="32"/>
      <c r="C172" s="35"/>
      <c r="D172" s="38"/>
      <c r="E172" s="41"/>
      <c r="F172" s="44"/>
      <c r="G172" s="48"/>
      <c r="H172" s="4" t="s">
        <v>25</v>
      </c>
      <c r="I172" s="20">
        <f t="shared" ref="I172:T172" si="76">(I170+I171)/2</f>
        <v>0</v>
      </c>
      <c r="J172" s="7">
        <f t="shared" si="76"/>
        <v>0</v>
      </c>
      <c r="K172" s="7">
        <f t="shared" si="76"/>
        <v>0</v>
      </c>
      <c r="L172" s="7">
        <f t="shared" si="76"/>
        <v>0</v>
      </c>
      <c r="M172" s="7">
        <f t="shared" si="76"/>
        <v>0</v>
      </c>
      <c r="N172" s="7">
        <f t="shared" si="76"/>
        <v>0</v>
      </c>
      <c r="O172" s="7">
        <f t="shared" si="76"/>
        <v>0</v>
      </c>
      <c r="P172" s="7">
        <f t="shared" si="76"/>
        <v>0</v>
      </c>
      <c r="Q172" s="7">
        <f t="shared" si="76"/>
        <v>0</v>
      </c>
      <c r="R172" s="7">
        <f t="shared" si="76"/>
        <v>0</v>
      </c>
      <c r="S172" s="7">
        <f t="shared" si="76"/>
        <v>0</v>
      </c>
      <c r="T172" s="7">
        <f t="shared" si="76"/>
        <v>0</v>
      </c>
      <c r="U172" s="6"/>
      <c r="V172" s="17">
        <f t="shared" si="59"/>
        <v>0</v>
      </c>
      <c r="W172" s="17">
        <f t="shared" si="60"/>
        <v>0</v>
      </c>
      <c r="X172" s="8"/>
    </row>
    <row r="173" spans="1:24" ht="23.25" customHeight="1" thickBot="1" x14ac:dyDescent="0.3">
      <c r="A173" s="30"/>
      <c r="B173" s="33"/>
      <c r="C173" s="36"/>
      <c r="D173" s="39"/>
      <c r="E173" s="52"/>
      <c r="F173" s="45"/>
      <c r="G173" s="50" t="s">
        <v>26</v>
      </c>
      <c r="H173" s="51"/>
      <c r="I173" s="20">
        <f t="shared" ref="I173:T173" si="77">(I169+I172)/2</f>
        <v>4.5</v>
      </c>
      <c r="J173" s="7">
        <f t="shared" si="77"/>
        <v>5.0824999999999996</v>
      </c>
      <c r="K173" s="7">
        <f t="shared" si="77"/>
        <v>4.75</v>
      </c>
      <c r="L173" s="7">
        <f t="shared" si="77"/>
        <v>6.02</v>
      </c>
      <c r="M173" s="7">
        <f t="shared" si="77"/>
        <v>6.165</v>
      </c>
      <c r="N173" s="7">
        <f t="shared" si="77"/>
        <v>0</v>
      </c>
      <c r="O173" s="7">
        <f t="shared" si="77"/>
        <v>5.54</v>
      </c>
      <c r="P173" s="7">
        <f t="shared" si="77"/>
        <v>0</v>
      </c>
      <c r="Q173" s="7">
        <f t="shared" si="77"/>
        <v>0</v>
      </c>
      <c r="R173" s="7">
        <f t="shared" si="77"/>
        <v>0</v>
      </c>
      <c r="S173" s="7">
        <f t="shared" si="77"/>
        <v>4.0824999999999996</v>
      </c>
      <c r="T173" s="7">
        <f t="shared" si="77"/>
        <v>6.125</v>
      </c>
      <c r="U173" s="6"/>
      <c r="V173" s="17">
        <f t="shared" si="59"/>
        <v>42.265000000000001</v>
      </c>
      <c r="W173" s="17">
        <f t="shared" si="60"/>
        <v>5.2831250000000001</v>
      </c>
      <c r="X173" s="8"/>
    </row>
    <row r="174" spans="1:24" ht="23.25" customHeight="1" x14ac:dyDescent="0.25">
      <c r="A174" s="28">
        <v>25</v>
      </c>
      <c r="B174" s="31" t="s">
        <v>29</v>
      </c>
      <c r="C174" s="34" t="s">
        <v>28</v>
      </c>
      <c r="D174" s="37" t="s">
        <v>30</v>
      </c>
      <c r="E174" s="40" t="s">
        <v>65</v>
      </c>
      <c r="F174" s="43" t="s">
        <v>32</v>
      </c>
      <c r="G174" s="46" t="s">
        <v>36</v>
      </c>
      <c r="H174" s="3" t="s">
        <v>22</v>
      </c>
      <c r="I174" s="19">
        <v>10</v>
      </c>
      <c r="J174" s="6">
        <v>10.33</v>
      </c>
      <c r="K174" s="6">
        <v>13.5</v>
      </c>
      <c r="L174" s="6">
        <v>15.33</v>
      </c>
      <c r="M174" s="6">
        <v>11.83</v>
      </c>
      <c r="N174" s="6"/>
      <c r="O174" s="6">
        <v>12.33</v>
      </c>
      <c r="P174" s="6"/>
      <c r="Q174" s="6"/>
      <c r="R174" s="6"/>
      <c r="S174" s="6">
        <v>11</v>
      </c>
      <c r="T174" s="6">
        <v>13.5</v>
      </c>
      <c r="U174" s="6"/>
      <c r="V174" s="17">
        <f t="shared" si="59"/>
        <v>97.82</v>
      </c>
      <c r="W174" s="17">
        <f t="shared" si="60"/>
        <v>12.227499999999999</v>
      </c>
      <c r="X174" s="8"/>
    </row>
    <row r="175" spans="1:24" ht="23.25" customHeight="1" x14ac:dyDescent="0.25">
      <c r="A175" s="29"/>
      <c r="B175" s="32"/>
      <c r="C175" s="35"/>
      <c r="D175" s="38"/>
      <c r="E175" s="41"/>
      <c r="F175" s="44"/>
      <c r="G175" s="47"/>
      <c r="H175" s="4" t="s">
        <v>23</v>
      </c>
      <c r="I175" s="19">
        <v>8</v>
      </c>
      <c r="J175" s="6">
        <v>13.75</v>
      </c>
      <c r="K175" s="6">
        <v>9</v>
      </c>
      <c r="L175" s="6">
        <v>11.5</v>
      </c>
      <c r="M175" s="6">
        <v>17</v>
      </c>
      <c r="N175" s="6"/>
      <c r="O175" s="6">
        <v>7</v>
      </c>
      <c r="P175" s="6"/>
      <c r="Q175" s="6"/>
      <c r="R175" s="6"/>
      <c r="S175" s="6">
        <v>7</v>
      </c>
      <c r="T175" s="6">
        <v>15</v>
      </c>
      <c r="U175" s="6"/>
      <c r="V175" s="17">
        <f t="shared" si="59"/>
        <v>88.25</v>
      </c>
      <c r="W175" s="17">
        <f t="shared" si="60"/>
        <v>11.03125</v>
      </c>
      <c r="X175" s="8"/>
    </row>
    <row r="176" spans="1:24" ht="23.25" customHeight="1" x14ac:dyDescent="0.25">
      <c r="A176" s="29"/>
      <c r="B176" s="32"/>
      <c r="C176" s="35"/>
      <c r="D176" s="38"/>
      <c r="E176" s="41"/>
      <c r="F176" s="44"/>
      <c r="G176" s="48"/>
      <c r="H176" s="4" t="s">
        <v>24</v>
      </c>
      <c r="I176" s="20">
        <f t="shared" ref="I176:T176" si="78">(I174+I175)/2</f>
        <v>9</v>
      </c>
      <c r="J176" s="7">
        <f t="shared" si="78"/>
        <v>12.04</v>
      </c>
      <c r="K176" s="7">
        <f t="shared" si="78"/>
        <v>11.25</v>
      </c>
      <c r="L176" s="7">
        <f t="shared" si="78"/>
        <v>13.414999999999999</v>
      </c>
      <c r="M176" s="7">
        <f t="shared" si="78"/>
        <v>14.414999999999999</v>
      </c>
      <c r="N176" s="7">
        <f t="shared" si="78"/>
        <v>0</v>
      </c>
      <c r="O176" s="7">
        <f t="shared" si="78"/>
        <v>9.6649999999999991</v>
      </c>
      <c r="P176" s="7">
        <f t="shared" si="78"/>
        <v>0</v>
      </c>
      <c r="Q176" s="7">
        <f t="shared" si="78"/>
        <v>0</v>
      </c>
      <c r="R176" s="7">
        <f t="shared" si="78"/>
        <v>0</v>
      </c>
      <c r="S176" s="7">
        <f t="shared" si="78"/>
        <v>9</v>
      </c>
      <c r="T176" s="7">
        <f t="shared" si="78"/>
        <v>14.25</v>
      </c>
      <c r="U176" s="6"/>
      <c r="V176" s="17">
        <f t="shared" si="59"/>
        <v>93.034999999999997</v>
      </c>
      <c r="W176" s="17">
        <f t="shared" si="60"/>
        <v>11.629375</v>
      </c>
      <c r="X176" s="8"/>
    </row>
    <row r="177" spans="1:24" ht="23.25" customHeight="1" x14ac:dyDescent="0.25">
      <c r="A177" s="29"/>
      <c r="B177" s="32"/>
      <c r="C177" s="35"/>
      <c r="D177" s="38"/>
      <c r="E177" s="41"/>
      <c r="F177" s="44"/>
      <c r="G177" s="49" t="s">
        <v>37</v>
      </c>
      <c r="H177" s="4" t="s">
        <v>22</v>
      </c>
      <c r="I177" s="19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7">
        <f t="shared" si="59"/>
        <v>0</v>
      </c>
      <c r="W177" s="17">
        <f t="shared" si="60"/>
        <v>0</v>
      </c>
      <c r="X177" s="8"/>
    </row>
    <row r="178" spans="1:24" ht="23.25" customHeight="1" x14ac:dyDescent="0.25">
      <c r="A178" s="29"/>
      <c r="B178" s="32"/>
      <c r="C178" s="35"/>
      <c r="D178" s="38"/>
      <c r="E178" s="41"/>
      <c r="F178" s="44"/>
      <c r="G178" s="47"/>
      <c r="H178" s="4" t="s">
        <v>23</v>
      </c>
      <c r="I178" s="19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7">
        <f t="shared" si="59"/>
        <v>0</v>
      </c>
      <c r="W178" s="17">
        <f t="shared" si="60"/>
        <v>0</v>
      </c>
      <c r="X178" s="8"/>
    </row>
    <row r="179" spans="1:24" ht="23.25" customHeight="1" x14ac:dyDescent="0.25">
      <c r="A179" s="29"/>
      <c r="B179" s="32"/>
      <c r="C179" s="35"/>
      <c r="D179" s="38"/>
      <c r="E179" s="41"/>
      <c r="F179" s="44"/>
      <c r="G179" s="48"/>
      <c r="H179" s="4" t="s">
        <v>25</v>
      </c>
      <c r="I179" s="20">
        <f t="shared" ref="I179:T179" si="79">(I177+I178)/2</f>
        <v>0</v>
      </c>
      <c r="J179" s="7">
        <f t="shared" si="79"/>
        <v>0</v>
      </c>
      <c r="K179" s="7">
        <f t="shared" si="79"/>
        <v>0</v>
      </c>
      <c r="L179" s="7">
        <f t="shared" si="79"/>
        <v>0</v>
      </c>
      <c r="M179" s="7">
        <f t="shared" si="79"/>
        <v>0</v>
      </c>
      <c r="N179" s="7">
        <f t="shared" si="79"/>
        <v>0</v>
      </c>
      <c r="O179" s="7">
        <f t="shared" si="79"/>
        <v>0</v>
      </c>
      <c r="P179" s="7">
        <f t="shared" si="79"/>
        <v>0</v>
      </c>
      <c r="Q179" s="7">
        <f t="shared" si="79"/>
        <v>0</v>
      </c>
      <c r="R179" s="7">
        <f t="shared" si="79"/>
        <v>0</v>
      </c>
      <c r="S179" s="7">
        <f t="shared" si="79"/>
        <v>0</v>
      </c>
      <c r="T179" s="7">
        <f t="shared" si="79"/>
        <v>0</v>
      </c>
      <c r="U179" s="6"/>
      <c r="V179" s="17">
        <f t="shared" si="59"/>
        <v>0</v>
      </c>
      <c r="W179" s="17">
        <f t="shared" si="60"/>
        <v>0</v>
      </c>
      <c r="X179" s="8"/>
    </row>
    <row r="180" spans="1:24" ht="23.25" customHeight="1" thickBot="1" x14ac:dyDescent="0.3">
      <c r="A180" s="30"/>
      <c r="B180" s="33"/>
      <c r="C180" s="36"/>
      <c r="D180" s="39"/>
      <c r="E180" s="52"/>
      <c r="F180" s="45"/>
      <c r="G180" s="50" t="s">
        <v>26</v>
      </c>
      <c r="H180" s="51"/>
      <c r="I180" s="20">
        <f t="shared" ref="I180:T180" si="80">(I176+I179)/2</f>
        <v>4.5</v>
      </c>
      <c r="J180" s="7">
        <f t="shared" si="80"/>
        <v>6.02</v>
      </c>
      <c r="K180" s="7">
        <f t="shared" si="80"/>
        <v>5.625</v>
      </c>
      <c r="L180" s="7">
        <f t="shared" si="80"/>
        <v>6.7074999999999996</v>
      </c>
      <c r="M180" s="7">
        <f t="shared" si="80"/>
        <v>7.2074999999999996</v>
      </c>
      <c r="N180" s="7">
        <f t="shared" si="80"/>
        <v>0</v>
      </c>
      <c r="O180" s="7">
        <f t="shared" si="80"/>
        <v>4.8324999999999996</v>
      </c>
      <c r="P180" s="7">
        <f t="shared" si="80"/>
        <v>0</v>
      </c>
      <c r="Q180" s="7">
        <f t="shared" si="80"/>
        <v>0</v>
      </c>
      <c r="R180" s="7">
        <f t="shared" si="80"/>
        <v>0</v>
      </c>
      <c r="S180" s="7">
        <f t="shared" si="80"/>
        <v>4.5</v>
      </c>
      <c r="T180" s="7">
        <f t="shared" si="80"/>
        <v>7.125</v>
      </c>
      <c r="U180" s="6"/>
      <c r="V180" s="17">
        <f t="shared" si="59"/>
        <v>46.517499999999998</v>
      </c>
      <c r="W180" s="17">
        <f t="shared" si="60"/>
        <v>5.8146874999999998</v>
      </c>
      <c r="X180" s="8"/>
    </row>
    <row r="181" spans="1:24" ht="23.25" customHeight="1" x14ac:dyDescent="0.25">
      <c r="A181" s="28">
        <v>26</v>
      </c>
      <c r="B181" s="31" t="s">
        <v>29</v>
      </c>
      <c r="C181" s="34" t="s">
        <v>28</v>
      </c>
      <c r="D181" s="37" t="s">
        <v>30</v>
      </c>
      <c r="E181" s="40" t="s">
        <v>40</v>
      </c>
      <c r="F181" s="43" t="s">
        <v>32</v>
      </c>
      <c r="G181" s="46" t="s">
        <v>36</v>
      </c>
      <c r="H181" s="3" t="s">
        <v>22</v>
      </c>
      <c r="I181" s="19">
        <v>9.33</v>
      </c>
      <c r="J181" s="6">
        <v>11.33</v>
      </c>
      <c r="K181" s="6">
        <v>10.33</v>
      </c>
      <c r="L181" s="6">
        <v>14</v>
      </c>
      <c r="M181" s="6">
        <v>11</v>
      </c>
      <c r="N181" s="6"/>
      <c r="O181" s="6">
        <v>12</v>
      </c>
      <c r="P181" s="6"/>
      <c r="Q181" s="6"/>
      <c r="R181" s="6"/>
      <c r="S181" s="6">
        <v>12</v>
      </c>
      <c r="T181" s="6">
        <v>14.5</v>
      </c>
      <c r="U181" s="6"/>
      <c r="V181" s="17">
        <f t="shared" si="59"/>
        <v>94.490000000000009</v>
      </c>
      <c r="W181" s="17">
        <f t="shared" si="60"/>
        <v>11.811250000000001</v>
      </c>
      <c r="X181" s="8"/>
    </row>
    <row r="182" spans="1:24" ht="23.25" customHeight="1" x14ac:dyDescent="0.25">
      <c r="A182" s="29"/>
      <c r="B182" s="32"/>
      <c r="C182" s="35"/>
      <c r="D182" s="38"/>
      <c r="E182" s="41"/>
      <c r="F182" s="44"/>
      <c r="G182" s="47"/>
      <c r="H182" s="4" t="s">
        <v>23</v>
      </c>
      <c r="I182" s="19">
        <v>3</v>
      </c>
      <c r="J182" s="6">
        <v>10.5</v>
      </c>
      <c r="K182" s="6">
        <v>11</v>
      </c>
      <c r="L182" s="6">
        <v>9</v>
      </c>
      <c r="M182" s="6">
        <v>13</v>
      </c>
      <c r="N182" s="6"/>
      <c r="O182" s="6">
        <v>7</v>
      </c>
      <c r="P182" s="6"/>
      <c r="Q182" s="6"/>
      <c r="R182" s="6"/>
      <c r="S182" s="6">
        <v>5</v>
      </c>
      <c r="T182" s="6">
        <v>11</v>
      </c>
      <c r="U182" s="6"/>
      <c r="V182" s="17">
        <f t="shared" si="59"/>
        <v>69.5</v>
      </c>
      <c r="W182" s="17">
        <f t="shared" si="60"/>
        <v>8.6875</v>
      </c>
      <c r="X182" s="8"/>
    </row>
    <row r="183" spans="1:24" ht="23.25" customHeight="1" x14ac:dyDescent="0.25">
      <c r="A183" s="29"/>
      <c r="B183" s="32"/>
      <c r="C183" s="35"/>
      <c r="D183" s="38"/>
      <c r="E183" s="41"/>
      <c r="F183" s="44"/>
      <c r="G183" s="48"/>
      <c r="H183" s="4" t="s">
        <v>24</v>
      </c>
      <c r="I183" s="20">
        <f t="shared" ref="I183:T183" si="81">(I181+I182)/2</f>
        <v>6.165</v>
      </c>
      <c r="J183" s="7">
        <f t="shared" si="81"/>
        <v>10.914999999999999</v>
      </c>
      <c r="K183" s="7">
        <f t="shared" si="81"/>
        <v>10.664999999999999</v>
      </c>
      <c r="L183" s="7">
        <f t="shared" si="81"/>
        <v>11.5</v>
      </c>
      <c r="M183" s="7">
        <f t="shared" si="81"/>
        <v>12</v>
      </c>
      <c r="N183" s="7">
        <f t="shared" si="81"/>
        <v>0</v>
      </c>
      <c r="O183" s="7">
        <f t="shared" si="81"/>
        <v>9.5</v>
      </c>
      <c r="P183" s="7">
        <f t="shared" si="81"/>
        <v>0</v>
      </c>
      <c r="Q183" s="7">
        <f t="shared" si="81"/>
        <v>0</v>
      </c>
      <c r="R183" s="7">
        <f t="shared" si="81"/>
        <v>0</v>
      </c>
      <c r="S183" s="7">
        <f t="shared" si="81"/>
        <v>8.5</v>
      </c>
      <c r="T183" s="7">
        <f t="shared" si="81"/>
        <v>12.75</v>
      </c>
      <c r="U183" s="6"/>
      <c r="V183" s="17">
        <f t="shared" si="59"/>
        <v>81.995000000000005</v>
      </c>
      <c r="W183" s="17">
        <f t="shared" si="60"/>
        <v>10.249375000000001</v>
      </c>
      <c r="X183" s="8"/>
    </row>
    <row r="184" spans="1:24" ht="23.25" customHeight="1" x14ac:dyDescent="0.25">
      <c r="A184" s="29"/>
      <c r="B184" s="32"/>
      <c r="C184" s="35"/>
      <c r="D184" s="38"/>
      <c r="E184" s="41"/>
      <c r="F184" s="44"/>
      <c r="G184" s="49" t="s">
        <v>37</v>
      </c>
      <c r="H184" s="4" t="s">
        <v>22</v>
      </c>
      <c r="I184" s="19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7">
        <f t="shared" si="59"/>
        <v>0</v>
      </c>
      <c r="W184" s="17">
        <f t="shared" si="60"/>
        <v>0</v>
      </c>
      <c r="X184" s="8"/>
    </row>
    <row r="185" spans="1:24" ht="23.25" customHeight="1" x14ac:dyDescent="0.25">
      <c r="A185" s="29"/>
      <c r="B185" s="32"/>
      <c r="C185" s="35"/>
      <c r="D185" s="38"/>
      <c r="E185" s="41"/>
      <c r="F185" s="44"/>
      <c r="G185" s="47"/>
      <c r="H185" s="4" t="s">
        <v>23</v>
      </c>
      <c r="I185" s="19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7">
        <f t="shared" si="59"/>
        <v>0</v>
      </c>
      <c r="W185" s="17">
        <f t="shared" si="60"/>
        <v>0</v>
      </c>
      <c r="X185" s="8"/>
    </row>
    <row r="186" spans="1:24" ht="23.25" customHeight="1" x14ac:dyDescent="0.25">
      <c r="A186" s="29"/>
      <c r="B186" s="32"/>
      <c r="C186" s="35"/>
      <c r="D186" s="38"/>
      <c r="E186" s="41"/>
      <c r="F186" s="44"/>
      <c r="G186" s="48"/>
      <c r="H186" s="4" t="s">
        <v>25</v>
      </c>
      <c r="I186" s="20">
        <f t="shared" ref="I186:T186" si="82">(I184+I185)/2</f>
        <v>0</v>
      </c>
      <c r="J186" s="7">
        <f t="shared" si="82"/>
        <v>0</v>
      </c>
      <c r="K186" s="7">
        <f t="shared" si="82"/>
        <v>0</v>
      </c>
      <c r="L186" s="7">
        <f t="shared" si="82"/>
        <v>0</v>
      </c>
      <c r="M186" s="7">
        <f t="shared" si="82"/>
        <v>0</v>
      </c>
      <c r="N186" s="7">
        <f t="shared" si="82"/>
        <v>0</v>
      </c>
      <c r="O186" s="7">
        <f t="shared" si="82"/>
        <v>0</v>
      </c>
      <c r="P186" s="7">
        <f t="shared" si="82"/>
        <v>0</v>
      </c>
      <c r="Q186" s="7">
        <f t="shared" si="82"/>
        <v>0</v>
      </c>
      <c r="R186" s="7">
        <f t="shared" si="82"/>
        <v>0</v>
      </c>
      <c r="S186" s="7">
        <f t="shared" si="82"/>
        <v>0</v>
      </c>
      <c r="T186" s="7">
        <f t="shared" si="82"/>
        <v>0</v>
      </c>
      <c r="U186" s="6"/>
      <c r="V186" s="17">
        <f t="shared" si="59"/>
        <v>0</v>
      </c>
      <c r="W186" s="17">
        <f t="shared" si="60"/>
        <v>0</v>
      </c>
      <c r="X186" s="8"/>
    </row>
    <row r="187" spans="1:24" ht="23.25" customHeight="1" thickBot="1" x14ac:dyDescent="0.3">
      <c r="A187" s="30"/>
      <c r="B187" s="33"/>
      <c r="C187" s="36"/>
      <c r="D187" s="39"/>
      <c r="E187" s="52"/>
      <c r="F187" s="45"/>
      <c r="G187" s="50" t="s">
        <v>26</v>
      </c>
      <c r="H187" s="51"/>
      <c r="I187" s="20">
        <f t="shared" ref="I187:T187" si="83">(I183+I186)/2</f>
        <v>3.0825</v>
      </c>
      <c r="J187" s="7">
        <f t="shared" si="83"/>
        <v>5.4574999999999996</v>
      </c>
      <c r="K187" s="7">
        <f t="shared" si="83"/>
        <v>5.3324999999999996</v>
      </c>
      <c r="L187" s="7">
        <f t="shared" si="83"/>
        <v>5.75</v>
      </c>
      <c r="M187" s="7">
        <f t="shared" si="83"/>
        <v>6</v>
      </c>
      <c r="N187" s="7">
        <f t="shared" si="83"/>
        <v>0</v>
      </c>
      <c r="O187" s="7">
        <f t="shared" si="83"/>
        <v>4.75</v>
      </c>
      <c r="P187" s="7">
        <f t="shared" si="83"/>
        <v>0</v>
      </c>
      <c r="Q187" s="7">
        <f t="shared" si="83"/>
        <v>0</v>
      </c>
      <c r="R187" s="7">
        <f t="shared" si="83"/>
        <v>0</v>
      </c>
      <c r="S187" s="7">
        <f t="shared" si="83"/>
        <v>4.25</v>
      </c>
      <c r="T187" s="7">
        <f t="shared" si="83"/>
        <v>6.375</v>
      </c>
      <c r="U187" s="6"/>
      <c r="V187" s="17">
        <f t="shared" si="59"/>
        <v>40.997500000000002</v>
      </c>
      <c r="W187" s="17">
        <f t="shared" si="60"/>
        <v>5.1246875000000003</v>
      </c>
      <c r="X187" s="8"/>
    </row>
    <row r="188" spans="1:24" ht="23.25" customHeight="1" x14ac:dyDescent="0.25">
      <c r="A188" s="28">
        <v>27</v>
      </c>
      <c r="B188" s="31" t="s">
        <v>29</v>
      </c>
      <c r="C188" s="34" t="s">
        <v>28</v>
      </c>
      <c r="D188" s="37" t="s">
        <v>30</v>
      </c>
      <c r="E188" s="40" t="s">
        <v>66</v>
      </c>
      <c r="F188" s="43" t="s">
        <v>32</v>
      </c>
      <c r="G188" s="46" t="s">
        <v>36</v>
      </c>
      <c r="H188" s="3" t="s">
        <v>22</v>
      </c>
      <c r="I188" s="19">
        <v>10.67</v>
      </c>
      <c r="J188" s="6">
        <v>10.66</v>
      </c>
      <c r="K188" s="6">
        <v>14</v>
      </c>
      <c r="L188" s="6">
        <v>15</v>
      </c>
      <c r="M188" s="6">
        <v>9</v>
      </c>
      <c r="N188" s="6"/>
      <c r="O188" s="6">
        <v>12.33</v>
      </c>
      <c r="P188" s="6"/>
      <c r="Q188" s="6"/>
      <c r="R188" s="6"/>
      <c r="S188" s="6">
        <v>12.66</v>
      </c>
      <c r="T188" s="6">
        <v>12.5</v>
      </c>
      <c r="U188" s="6"/>
      <c r="V188" s="17">
        <f t="shared" si="59"/>
        <v>96.82</v>
      </c>
      <c r="W188" s="17">
        <f t="shared" si="60"/>
        <v>12.102499999999999</v>
      </c>
      <c r="X188" s="8"/>
    </row>
    <row r="189" spans="1:24" ht="23.25" customHeight="1" x14ac:dyDescent="0.25">
      <c r="A189" s="29"/>
      <c r="B189" s="32"/>
      <c r="C189" s="35"/>
      <c r="D189" s="38"/>
      <c r="E189" s="41"/>
      <c r="F189" s="44"/>
      <c r="G189" s="47"/>
      <c r="H189" s="4" t="s">
        <v>23</v>
      </c>
      <c r="I189" s="19">
        <v>6</v>
      </c>
      <c r="J189" s="6">
        <v>8</v>
      </c>
      <c r="K189" s="6">
        <v>6</v>
      </c>
      <c r="L189" s="6">
        <v>10</v>
      </c>
      <c r="M189" s="6">
        <v>14.5</v>
      </c>
      <c r="N189" s="6"/>
      <c r="O189" s="6">
        <v>10.5</v>
      </c>
      <c r="P189" s="6"/>
      <c r="Q189" s="6"/>
      <c r="R189" s="6"/>
      <c r="S189" s="6">
        <v>10</v>
      </c>
      <c r="T189" s="6">
        <v>18</v>
      </c>
      <c r="U189" s="6"/>
      <c r="V189" s="17">
        <f t="shared" si="59"/>
        <v>83</v>
      </c>
      <c r="W189" s="17">
        <f t="shared" si="60"/>
        <v>10.375</v>
      </c>
      <c r="X189" s="8"/>
    </row>
    <row r="190" spans="1:24" ht="23.25" customHeight="1" x14ac:dyDescent="0.25">
      <c r="A190" s="29"/>
      <c r="B190" s="32"/>
      <c r="C190" s="35"/>
      <c r="D190" s="38"/>
      <c r="E190" s="41"/>
      <c r="F190" s="44"/>
      <c r="G190" s="48"/>
      <c r="H190" s="4" t="s">
        <v>24</v>
      </c>
      <c r="I190" s="20">
        <f t="shared" ref="I190:T190" si="84">(I188+I189)/2</f>
        <v>8.3350000000000009</v>
      </c>
      <c r="J190" s="7">
        <f t="shared" si="84"/>
        <v>9.33</v>
      </c>
      <c r="K190" s="7">
        <f t="shared" si="84"/>
        <v>10</v>
      </c>
      <c r="L190" s="7">
        <f t="shared" si="84"/>
        <v>12.5</v>
      </c>
      <c r="M190" s="7">
        <f t="shared" si="84"/>
        <v>11.75</v>
      </c>
      <c r="N190" s="7">
        <f t="shared" si="84"/>
        <v>0</v>
      </c>
      <c r="O190" s="7">
        <f t="shared" si="84"/>
        <v>11.414999999999999</v>
      </c>
      <c r="P190" s="7">
        <f t="shared" si="84"/>
        <v>0</v>
      </c>
      <c r="Q190" s="7">
        <f t="shared" si="84"/>
        <v>0</v>
      </c>
      <c r="R190" s="7">
        <f t="shared" si="84"/>
        <v>0</v>
      </c>
      <c r="S190" s="7">
        <f t="shared" si="84"/>
        <v>11.33</v>
      </c>
      <c r="T190" s="7">
        <f t="shared" si="84"/>
        <v>15.25</v>
      </c>
      <c r="U190" s="6"/>
      <c r="V190" s="17">
        <f t="shared" si="59"/>
        <v>89.91</v>
      </c>
      <c r="W190" s="17">
        <f t="shared" si="60"/>
        <v>11.23875</v>
      </c>
      <c r="X190" s="8"/>
    </row>
    <row r="191" spans="1:24" ht="23.25" customHeight="1" x14ac:dyDescent="0.25">
      <c r="A191" s="29"/>
      <c r="B191" s="32"/>
      <c r="C191" s="35"/>
      <c r="D191" s="38"/>
      <c r="E191" s="41"/>
      <c r="F191" s="44"/>
      <c r="G191" s="49" t="s">
        <v>37</v>
      </c>
      <c r="H191" s="4" t="s">
        <v>22</v>
      </c>
      <c r="I191" s="19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7">
        <f t="shared" si="59"/>
        <v>0</v>
      </c>
      <c r="W191" s="17">
        <f t="shared" si="60"/>
        <v>0</v>
      </c>
      <c r="X191" s="8"/>
    </row>
    <row r="192" spans="1:24" ht="23.25" customHeight="1" x14ac:dyDescent="0.25">
      <c r="A192" s="29"/>
      <c r="B192" s="32"/>
      <c r="C192" s="35"/>
      <c r="D192" s="38"/>
      <c r="E192" s="41"/>
      <c r="F192" s="44"/>
      <c r="G192" s="47"/>
      <c r="H192" s="4" t="s">
        <v>23</v>
      </c>
      <c r="I192" s="19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7">
        <f t="shared" si="59"/>
        <v>0</v>
      </c>
      <c r="W192" s="17">
        <f t="shared" si="60"/>
        <v>0</v>
      </c>
      <c r="X192" s="8"/>
    </row>
    <row r="193" spans="1:24" ht="23.25" customHeight="1" x14ac:dyDescent="0.25">
      <c r="A193" s="29"/>
      <c r="B193" s="32"/>
      <c r="C193" s="35"/>
      <c r="D193" s="38"/>
      <c r="E193" s="41"/>
      <c r="F193" s="44"/>
      <c r="G193" s="48"/>
      <c r="H193" s="4" t="s">
        <v>25</v>
      </c>
      <c r="I193" s="20">
        <f t="shared" ref="I193:T193" si="85">(I191+I192)/2</f>
        <v>0</v>
      </c>
      <c r="J193" s="7">
        <f t="shared" si="85"/>
        <v>0</v>
      </c>
      <c r="K193" s="7">
        <f t="shared" si="85"/>
        <v>0</v>
      </c>
      <c r="L193" s="7">
        <f t="shared" si="85"/>
        <v>0</v>
      </c>
      <c r="M193" s="7">
        <f t="shared" si="85"/>
        <v>0</v>
      </c>
      <c r="N193" s="7">
        <f t="shared" si="85"/>
        <v>0</v>
      </c>
      <c r="O193" s="7">
        <f t="shared" si="85"/>
        <v>0</v>
      </c>
      <c r="P193" s="7">
        <f t="shared" si="85"/>
        <v>0</v>
      </c>
      <c r="Q193" s="7">
        <f t="shared" si="85"/>
        <v>0</v>
      </c>
      <c r="R193" s="7">
        <f t="shared" si="85"/>
        <v>0</v>
      </c>
      <c r="S193" s="7">
        <f t="shared" si="85"/>
        <v>0</v>
      </c>
      <c r="T193" s="7">
        <f t="shared" si="85"/>
        <v>0</v>
      </c>
      <c r="U193" s="6"/>
      <c r="V193" s="17">
        <f t="shared" si="59"/>
        <v>0</v>
      </c>
      <c r="W193" s="17">
        <f t="shared" si="60"/>
        <v>0</v>
      </c>
      <c r="X193" s="8"/>
    </row>
    <row r="194" spans="1:24" ht="23.25" customHeight="1" thickBot="1" x14ac:dyDescent="0.3">
      <c r="A194" s="30"/>
      <c r="B194" s="33"/>
      <c r="C194" s="36"/>
      <c r="D194" s="39"/>
      <c r="E194" s="52"/>
      <c r="F194" s="45"/>
      <c r="G194" s="50" t="s">
        <v>26</v>
      </c>
      <c r="H194" s="51"/>
      <c r="I194" s="20">
        <f t="shared" ref="I194:T194" si="86">(I190+I193)/2</f>
        <v>4.1675000000000004</v>
      </c>
      <c r="J194" s="7">
        <f t="shared" si="86"/>
        <v>4.665</v>
      </c>
      <c r="K194" s="7">
        <f t="shared" si="86"/>
        <v>5</v>
      </c>
      <c r="L194" s="7">
        <f t="shared" si="86"/>
        <v>6.25</v>
      </c>
      <c r="M194" s="7">
        <f t="shared" si="86"/>
        <v>5.875</v>
      </c>
      <c r="N194" s="7">
        <f t="shared" si="86"/>
        <v>0</v>
      </c>
      <c r="O194" s="7">
        <f t="shared" si="86"/>
        <v>5.7074999999999996</v>
      </c>
      <c r="P194" s="7">
        <f t="shared" si="86"/>
        <v>0</v>
      </c>
      <c r="Q194" s="7">
        <f t="shared" si="86"/>
        <v>0</v>
      </c>
      <c r="R194" s="7">
        <f t="shared" si="86"/>
        <v>0</v>
      </c>
      <c r="S194" s="7">
        <f t="shared" si="86"/>
        <v>5.665</v>
      </c>
      <c r="T194" s="7">
        <f t="shared" si="86"/>
        <v>7.625</v>
      </c>
      <c r="U194" s="6"/>
      <c r="V194" s="17">
        <f t="shared" si="59"/>
        <v>44.954999999999998</v>
      </c>
      <c r="W194" s="17">
        <f t="shared" si="60"/>
        <v>5.6193749999999998</v>
      </c>
      <c r="X194" s="8"/>
    </row>
    <row r="195" spans="1:24" ht="23.25" customHeight="1" x14ac:dyDescent="0.25">
      <c r="A195" s="28">
        <v>28</v>
      </c>
      <c r="B195" s="31" t="s">
        <v>29</v>
      </c>
      <c r="C195" s="34" t="s">
        <v>28</v>
      </c>
      <c r="D195" s="37" t="s">
        <v>30</v>
      </c>
      <c r="E195" s="40" t="s">
        <v>67</v>
      </c>
      <c r="F195" s="43" t="s">
        <v>32</v>
      </c>
      <c r="G195" s="46" t="s">
        <v>36</v>
      </c>
      <c r="H195" s="3" t="s">
        <v>22</v>
      </c>
      <c r="I195" s="19">
        <v>12.67</v>
      </c>
      <c r="J195" s="6">
        <v>10.33</v>
      </c>
      <c r="K195" s="6">
        <v>13.5</v>
      </c>
      <c r="L195" s="6">
        <v>16</v>
      </c>
      <c r="M195" s="6">
        <v>12.5</v>
      </c>
      <c r="N195" s="6"/>
      <c r="O195" s="6">
        <v>10.66</v>
      </c>
      <c r="P195" s="6"/>
      <c r="Q195" s="6"/>
      <c r="R195" s="6"/>
      <c r="S195" s="6">
        <v>11.33</v>
      </c>
      <c r="T195" s="6">
        <v>15</v>
      </c>
      <c r="U195" s="6"/>
      <c r="V195" s="17">
        <f t="shared" si="59"/>
        <v>101.99</v>
      </c>
      <c r="W195" s="17">
        <f t="shared" si="60"/>
        <v>12.748749999999999</v>
      </c>
      <c r="X195" s="8"/>
    </row>
    <row r="196" spans="1:24" ht="23.25" customHeight="1" x14ac:dyDescent="0.25">
      <c r="A196" s="29"/>
      <c r="B196" s="32"/>
      <c r="C196" s="35"/>
      <c r="D196" s="38"/>
      <c r="E196" s="41"/>
      <c r="F196" s="44"/>
      <c r="G196" s="47"/>
      <c r="H196" s="4" t="s">
        <v>23</v>
      </c>
      <c r="I196" s="19">
        <v>9</v>
      </c>
      <c r="J196" s="6">
        <v>12.5</v>
      </c>
      <c r="K196" s="6">
        <v>15</v>
      </c>
      <c r="L196" s="6">
        <v>19.5</v>
      </c>
      <c r="M196" s="6">
        <v>14</v>
      </c>
      <c r="N196" s="6"/>
      <c r="O196" s="6">
        <v>12</v>
      </c>
      <c r="P196" s="6"/>
      <c r="Q196" s="6"/>
      <c r="R196" s="6"/>
      <c r="S196" s="6">
        <v>14</v>
      </c>
      <c r="T196" s="6">
        <v>19</v>
      </c>
      <c r="U196" s="6"/>
      <c r="V196" s="17">
        <f t="shared" si="59"/>
        <v>115</v>
      </c>
      <c r="W196" s="17">
        <f t="shared" si="60"/>
        <v>14.375</v>
      </c>
      <c r="X196" s="8"/>
    </row>
    <row r="197" spans="1:24" ht="23.25" customHeight="1" x14ac:dyDescent="0.25">
      <c r="A197" s="29"/>
      <c r="B197" s="32"/>
      <c r="C197" s="35"/>
      <c r="D197" s="38"/>
      <c r="E197" s="41"/>
      <c r="F197" s="44"/>
      <c r="G197" s="48"/>
      <c r="H197" s="4" t="s">
        <v>24</v>
      </c>
      <c r="I197" s="20">
        <f t="shared" ref="I197:T197" si="87">(I195+I196)/2</f>
        <v>10.835000000000001</v>
      </c>
      <c r="J197" s="7">
        <f t="shared" si="87"/>
        <v>11.414999999999999</v>
      </c>
      <c r="K197" s="7">
        <f t="shared" si="87"/>
        <v>14.25</v>
      </c>
      <c r="L197" s="7">
        <f t="shared" si="87"/>
        <v>17.75</v>
      </c>
      <c r="M197" s="7">
        <f t="shared" si="87"/>
        <v>13.25</v>
      </c>
      <c r="N197" s="7">
        <f t="shared" si="87"/>
        <v>0</v>
      </c>
      <c r="O197" s="7">
        <f t="shared" si="87"/>
        <v>11.33</v>
      </c>
      <c r="P197" s="7">
        <f t="shared" si="87"/>
        <v>0</v>
      </c>
      <c r="Q197" s="7">
        <f t="shared" si="87"/>
        <v>0</v>
      </c>
      <c r="R197" s="7">
        <f t="shared" si="87"/>
        <v>0</v>
      </c>
      <c r="S197" s="7">
        <f t="shared" si="87"/>
        <v>12.664999999999999</v>
      </c>
      <c r="T197" s="7">
        <f t="shared" si="87"/>
        <v>17</v>
      </c>
      <c r="U197" s="6"/>
      <c r="V197" s="17">
        <f t="shared" si="59"/>
        <v>108.495</v>
      </c>
      <c r="W197" s="17">
        <f t="shared" si="60"/>
        <v>13.561875000000001</v>
      </c>
      <c r="X197" s="8"/>
    </row>
    <row r="198" spans="1:24" ht="23.25" customHeight="1" x14ac:dyDescent="0.25">
      <c r="A198" s="29"/>
      <c r="B198" s="32"/>
      <c r="C198" s="35"/>
      <c r="D198" s="38"/>
      <c r="E198" s="41"/>
      <c r="F198" s="44"/>
      <c r="G198" s="49" t="s">
        <v>37</v>
      </c>
      <c r="H198" s="4" t="s">
        <v>22</v>
      </c>
      <c r="I198" s="19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7">
        <f t="shared" si="59"/>
        <v>0</v>
      </c>
      <c r="W198" s="17">
        <f t="shared" si="60"/>
        <v>0</v>
      </c>
      <c r="X198" s="8"/>
    </row>
    <row r="199" spans="1:24" ht="23.25" customHeight="1" x14ac:dyDescent="0.25">
      <c r="A199" s="29"/>
      <c r="B199" s="32"/>
      <c r="C199" s="35"/>
      <c r="D199" s="38"/>
      <c r="E199" s="41"/>
      <c r="F199" s="44"/>
      <c r="G199" s="47"/>
      <c r="H199" s="4" t="s">
        <v>23</v>
      </c>
      <c r="I199" s="19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7">
        <f t="shared" ref="V199:V262" si="88">(I199+J199+K199+L199+M199+N199+O199+P199+Q199+S199+T199)</f>
        <v>0</v>
      </c>
      <c r="W199" s="17">
        <f t="shared" ref="W199:W262" si="89">(V199)/8</f>
        <v>0</v>
      </c>
      <c r="X199" s="8"/>
    </row>
    <row r="200" spans="1:24" ht="23.25" customHeight="1" x14ac:dyDescent="0.25">
      <c r="A200" s="29"/>
      <c r="B200" s="32"/>
      <c r="C200" s="35"/>
      <c r="D200" s="38"/>
      <c r="E200" s="41"/>
      <c r="F200" s="44"/>
      <c r="G200" s="48"/>
      <c r="H200" s="4" t="s">
        <v>25</v>
      </c>
      <c r="I200" s="20">
        <f t="shared" ref="I200:T200" si="90">(I198+I199)/2</f>
        <v>0</v>
      </c>
      <c r="J200" s="7">
        <f t="shared" si="90"/>
        <v>0</v>
      </c>
      <c r="K200" s="7">
        <f t="shared" si="90"/>
        <v>0</v>
      </c>
      <c r="L200" s="7">
        <f t="shared" si="90"/>
        <v>0</v>
      </c>
      <c r="M200" s="7">
        <f t="shared" si="90"/>
        <v>0</v>
      </c>
      <c r="N200" s="7">
        <f t="shared" si="90"/>
        <v>0</v>
      </c>
      <c r="O200" s="7">
        <f t="shared" si="90"/>
        <v>0</v>
      </c>
      <c r="P200" s="7">
        <f t="shared" si="90"/>
        <v>0</v>
      </c>
      <c r="Q200" s="7">
        <f t="shared" si="90"/>
        <v>0</v>
      </c>
      <c r="R200" s="7">
        <f t="shared" si="90"/>
        <v>0</v>
      </c>
      <c r="S200" s="7">
        <f t="shared" si="90"/>
        <v>0</v>
      </c>
      <c r="T200" s="7">
        <f t="shared" si="90"/>
        <v>0</v>
      </c>
      <c r="U200" s="6"/>
      <c r="V200" s="17">
        <f t="shared" si="88"/>
        <v>0</v>
      </c>
      <c r="W200" s="17">
        <f t="shared" si="89"/>
        <v>0</v>
      </c>
      <c r="X200" s="8"/>
    </row>
    <row r="201" spans="1:24" ht="23.25" customHeight="1" thickBot="1" x14ac:dyDescent="0.3">
      <c r="A201" s="30"/>
      <c r="B201" s="33"/>
      <c r="C201" s="36"/>
      <c r="D201" s="39"/>
      <c r="E201" s="52"/>
      <c r="F201" s="45"/>
      <c r="G201" s="50" t="s">
        <v>26</v>
      </c>
      <c r="H201" s="51"/>
      <c r="I201" s="20">
        <f t="shared" ref="I201:T201" si="91">(I197+I200)/2</f>
        <v>5.4175000000000004</v>
      </c>
      <c r="J201" s="7">
        <f t="shared" si="91"/>
        <v>5.7074999999999996</v>
      </c>
      <c r="K201" s="7">
        <f t="shared" si="91"/>
        <v>7.125</v>
      </c>
      <c r="L201" s="7">
        <f t="shared" si="91"/>
        <v>8.875</v>
      </c>
      <c r="M201" s="7">
        <f t="shared" si="91"/>
        <v>6.625</v>
      </c>
      <c r="N201" s="7">
        <f t="shared" si="91"/>
        <v>0</v>
      </c>
      <c r="O201" s="7">
        <f t="shared" si="91"/>
        <v>5.665</v>
      </c>
      <c r="P201" s="7">
        <f t="shared" si="91"/>
        <v>0</v>
      </c>
      <c r="Q201" s="7">
        <f t="shared" si="91"/>
        <v>0</v>
      </c>
      <c r="R201" s="7">
        <f t="shared" si="91"/>
        <v>0</v>
      </c>
      <c r="S201" s="7">
        <f t="shared" si="91"/>
        <v>6.3324999999999996</v>
      </c>
      <c r="T201" s="7">
        <f t="shared" si="91"/>
        <v>8.5</v>
      </c>
      <c r="U201" s="6"/>
      <c r="V201" s="17">
        <f t="shared" si="88"/>
        <v>54.247500000000002</v>
      </c>
      <c r="W201" s="17">
        <f t="shared" si="89"/>
        <v>6.7809375000000003</v>
      </c>
      <c r="X201" s="8"/>
    </row>
    <row r="202" spans="1:24" ht="23.25" customHeight="1" x14ac:dyDescent="0.25">
      <c r="A202" s="28">
        <v>29</v>
      </c>
      <c r="B202" s="31" t="s">
        <v>29</v>
      </c>
      <c r="C202" s="34" t="s">
        <v>28</v>
      </c>
      <c r="D202" s="37" t="s">
        <v>30</v>
      </c>
      <c r="E202" s="40" t="s">
        <v>68</v>
      </c>
      <c r="F202" s="43" t="s">
        <v>32</v>
      </c>
      <c r="G202" s="46" t="s">
        <v>36</v>
      </c>
      <c r="H202" s="3" t="s">
        <v>22</v>
      </c>
      <c r="I202" s="19">
        <v>9</v>
      </c>
      <c r="J202" s="6">
        <v>10.33</v>
      </c>
      <c r="K202" s="6">
        <v>14</v>
      </c>
      <c r="L202" s="6">
        <v>16</v>
      </c>
      <c r="M202" s="6">
        <v>11</v>
      </c>
      <c r="N202" s="6"/>
      <c r="O202" s="6">
        <v>12.33</v>
      </c>
      <c r="P202" s="6"/>
      <c r="Q202" s="6"/>
      <c r="R202" s="6"/>
      <c r="S202" s="6">
        <v>8.66</v>
      </c>
      <c r="T202" s="6">
        <v>12.5</v>
      </c>
      <c r="U202" s="6"/>
      <c r="V202" s="17">
        <f t="shared" si="88"/>
        <v>93.82</v>
      </c>
      <c r="W202" s="17">
        <f t="shared" si="89"/>
        <v>11.727499999999999</v>
      </c>
      <c r="X202" s="8"/>
    </row>
    <row r="203" spans="1:24" ht="23.25" customHeight="1" x14ac:dyDescent="0.25">
      <c r="A203" s="29"/>
      <c r="B203" s="32"/>
      <c r="C203" s="35"/>
      <c r="D203" s="38"/>
      <c r="E203" s="41"/>
      <c r="F203" s="44"/>
      <c r="G203" s="47"/>
      <c r="H203" s="4" t="s">
        <v>23</v>
      </c>
      <c r="I203" s="19">
        <v>7</v>
      </c>
      <c r="J203" s="6">
        <v>8</v>
      </c>
      <c r="K203" s="6">
        <v>6</v>
      </c>
      <c r="L203" s="6">
        <v>6.5</v>
      </c>
      <c r="M203" s="6">
        <v>15.5</v>
      </c>
      <c r="N203" s="6"/>
      <c r="O203" s="6">
        <v>6</v>
      </c>
      <c r="P203" s="6"/>
      <c r="Q203" s="6"/>
      <c r="R203" s="6"/>
      <c r="S203" s="6">
        <v>5</v>
      </c>
      <c r="T203" s="6">
        <v>13</v>
      </c>
      <c r="U203" s="6"/>
      <c r="V203" s="17">
        <f t="shared" si="88"/>
        <v>67</v>
      </c>
      <c r="W203" s="17">
        <f t="shared" si="89"/>
        <v>8.375</v>
      </c>
      <c r="X203" s="8"/>
    </row>
    <row r="204" spans="1:24" ht="23.25" customHeight="1" x14ac:dyDescent="0.25">
      <c r="A204" s="29"/>
      <c r="B204" s="32"/>
      <c r="C204" s="35"/>
      <c r="D204" s="38"/>
      <c r="E204" s="41"/>
      <c r="F204" s="44"/>
      <c r="G204" s="48"/>
      <c r="H204" s="4" t="s">
        <v>24</v>
      </c>
      <c r="I204" s="20">
        <f t="shared" ref="I204:T204" si="92">(I202+I203)/2</f>
        <v>8</v>
      </c>
      <c r="J204" s="7">
        <f t="shared" si="92"/>
        <v>9.1649999999999991</v>
      </c>
      <c r="K204" s="7">
        <f t="shared" si="92"/>
        <v>10</v>
      </c>
      <c r="L204" s="7">
        <f t="shared" si="92"/>
        <v>11.25</v>
      </c>
      <c r="M204" s="7">
        <f t="shared" si="92"/>
        <v>13.25</v>
      </c>
      <c r="N204" s="7">
        <f t="shared" si="92"/>
        <v>0</v>
      </c>
      <c r="O204" s="7">
        <f t="shared" si="92"/>
        <v>9.1649999999999991</v>
      </c>
      <c r="P204" s="7">
        <f t="shared" si="92"/>
        <v>0</v>
      </c>
      <c r="Q204" s="7">
        <f t="shared" si="92"/>
        <v>0</v>
      </c>
      <c r="R204" s="7">
        <f t="shared" si="92"/>
        <v>0</v>
      </c>
      <c r="S204" s="7">
        <f t="shared" si="92"/>
        <v>6.83</v>
      </c>
      <c r="T204" s="7">
        <f t="shared" si="92"/>
        <v>12.75</v>
      </c>
      <c r="U204" s="6"/>
      <c r="V204" s="17">
        <f t="shared" si="88"/>
        <v>80.41</v>
      </c>
      <c r="W204" s="17">
        <f t="shared" si="89"/>
        <v>10.05125</v>
      </c>
      <c r="X204" s="8"/>
    </row>
    <row r="205" spans="1:24" ht="23.25" customHeight="1" x14ac:dyDescent="0.25">
      <c r="A205" s="29"/>
      <c r="B205" s="32"/>
      <c r="C205" s="35"/>
      <c r="D205" s="38"/>
      <c r="E205" s="41"/>
      <c r="F205" s="44"/>
      <c r="G205" s="49" t="s">
        <v>37</v>
      </c>
      <c r="H205" s="4" t="s">
        <v>22</v>
      </c>
      <c r="I205" s="19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7">
        <f t="shared" si="88"/>
        <v>0</v>
      </c>
      <c r="W205" s="17">
        <f t="shared" si="89"/>
        <v>0</v>
      </c>
      <c r="X205" s="8"/>
    </row>
    <row r="206" spans="1:24" ht="23.25" customHeight="1" x14ac:dyDescent="0.25">
      <c r="A206" s="29"/>
      <c r="B206" s="32"/>
      <c r="C206" s="35"/>
      <c r="D206" s="38"/>
      <c r="E206" s="41"/>
      <c r="F206" s="44"/>
      <c r="G206" s="47"/>
      <c r="H206" s="4" t="s">
        <v>23</v>
      </c>
      <c r="I206" s="19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7">
        <f t="shared" si="88"/>
        <v>0</v>
      </c>
      <c r="W206" s="17">
        <f t="shared" si="89"/>
        <v>0</v>
      </c>
      <c r="X206" s="8"/>
    </row>
    <row r="207" spans="1:24" ht="23.25" customHeight="1" x14ac:dyDescent="0.25">
      <c r="A207" s="29"/>
      <c r="B207" s="32"/>
      <c r="C207" s="35"/>
      <c r="D207" s="38"/>
      <c r="E207" s="41"/>
      <c r="F207" s="44"/>
      <c r="G207" s="48"/>
      <c r="H207" s="4" t="s">
        <v>25</v>
      </c>
      <c r="I207" s="20">
        <f t="shared" ref="I207:T207" si="93">(I205+I206)/2</f>
        <v>0</v>
      </c>
      <c r="J207" s="7">
        <f t="shared" si="93"/>
        <v>0</v>
      </c>
      <c r="K207" s="7">
        <f t="shared" si="93"/>
        <v>0</v>
      </c>
      <c r="L207" s="7">
        <f t="shared" si="93"/>
        <v>0</v>
      </c>
      <c r="M207" s="7">
        <f t="shared" si="93"/>
        <v>0</v>
      </c>
      <c r="N207" s="7">
        <f t="shared" si="93"/>
        <v>0</v>
      </c>
      <c r="O207" s="7">
        <f t="shared" si="93"/>
        <v>0</v>
      </c>
      <c r="P207" s="7">
        <f t="shared" si="93"/>
        <v>0</v>
      </c>
      <c r="Q207" s="7">
        <f t="shared" si="93"/>
        <v>0</v>
      </c>
      <c r="R207" s="7">
        <f t="shared" si="93"/>
        <v>0</v>
      </c>
      <c r="S207" s="7">
        <f t="shared" si="93"/>
        <v>0</v>
      </c>
      <c r="T207" s="7">
        <f t="shared" si="93"/>
        <v>0</v>
      </c>
      <c r="U207" s="6"/>
      <c r="V207" s="17">
        <f t="shared" si="88"/>
        <v>0</v>
      </c>
      <c r="W207" s="17">
        <f t="shared" si="89"/>
        <v>0</v>
      </c>
      <c r="X207" s="8"/>
    </row>
    <row r="208" spans="1:24" ht="23.25" customHeight="1" thickBot="1" x14ac:dyDescent="0.3">
      <c r="A208" s="30"/>
      <c r="B208" s="33"/>
      <c r="C208" s="36"/>
      <c r="D208" s="39"/>
      <c r="E208" s="52"/>
      <c r="F208" s="45"/>
      <c r="G208" s="50" t="s">
        <v>26</v>
      </c>
      <c r="H208" s="51"/>
      <c r="I208" s="20">
        <f t="shared" ref="I208:T208" si="94">(I204+I207)/2</f>
        <v>4</v>
      </c>
      <c r="J208" s="7">
        <f t="shared" si="94"/>
        <v>4.5824999999999996</v>
      </c>
      <c r="K208" s="7">
        <f t="shared" si="94"/>
        <v>5</v>
      </c>
      <c r="L208" s="7">
        <f t="shared" si="94"/>
        <v>5.625</v>
      </c>
      <c r="M208" s="7">
        <f t="shared" si="94"/>
        <v>6.625</v>
      </c>
      <c r="N208" s="7">
        <f t="shared" si="94"/>
        <v>0</v>
      </c>
      <c r="O208" s="7">
        <f t="shared" si="94"/>
        <v>4.5824999999999996</v>
      </c>
      <c r="P208" s="7">
        <f t="shared" si="94"/>
        <v>0</v>
      </c>
      <c r="Q208" s="7">
        <f t="shared" si="94"/>
        <v>0</v>
      </c>
      <c r="R208" s="7">
        <f t="shared" si="94"/>
        <v>0</v>
      </c>
      <c r="S208" s="7">
        <f t="shared" si="94"/>
        <v>3.415</v>
      </c>
      <c r="T208" s="7">
        <f t="shared" si="94"/>
        <v>6.375</v>
      </c>
      <c r="U208" s="6"/>
      <c r="V208" s="17">
        <f t="shared" si="88"/>
        <v>40.204999999999998</v>
      </c>
      <c r="W208" s="17">
        <f t="shared" si="89"/>
        <v>5.0256249999999998</v>
      </c>
      <c r="X208" s="8"/>
    </row>
    <row r="209" spans="1:24" ht="23.25" customHeight="1" x14ac:dyDescent="0.25">
      <c r="A209" s="28">
        <v>30</v>
      </c>
      <c r="B209" s="31" t="s">
        <v>29</v>
      </c>
      <c r="C209" s="34" t="s">
        <v>28</v>
      </c>
      <c r="D209" s="37" t="s">
        <v>30</v>
      </c>
      <c r="E209" s="40" t="s">
        <v>69</v>
      </c>
      <c r="F209" s="43" t="s">
        <v>32</v>
      </c>
      <c r="G209" s="46" t="s">
        <v>36</v>
      </c>
      <c r="H209" s="3" t="s">
        <v>22</v>
      </c>
      <c r="I209" s="19">
        <v>11</v>
      </c>
      <c r="J209" s="6">
        <v>10.33</v>
      </c>
      <c r="K209" s="6">
        <v>13.5</v>
      </c>
      <c r="L209" s="6">
        <v>15</v>
      </c>
      <c r="M209" s="6">
        <v>10.83</v>
      </c>
      <c r="N209" s="6"/>
      <c r="O209" s="6">
        <v>12</v>
      </c>
      <c r="P209" s="6"/>
      <c r="Q209" s="6"/>
      <c r="R209" s="6"/>
      <c r="S209" s="6">
        <v>8.33</v>
      </c>
      <c r="T209" s="6">
        <v>12.5</v>
      </c>
      <c r="U209" s="6"/>
      <c r="V209" s="17">
        <f t="shared" si="88"/>
        <v>93.49</v>
      </c>
      <c r="W209" s="17">
        <f t="shared" si="89"/>
        <v>11.686249999999999</v>
      </c>
      <c r="X209" s="8"/>
    </row>
    <row r="210" spans="1:24" ht="23.25" customHeight="1" x14ac:dyDescent="0.25">
      <c r="A210" s="29"/>
      <c r="B210" s="32"/>
      <c r="C210" s="35"/>
      <c r="D210" s="38"/>
      <c r="E210" s="41"/>
      <c r="F210" s="44"/>
      <c r="G210" s="47"/>
      <c r="H210" s="4" t="s">
        <v>23</v>
      </c>
      <c r="I210" s="19">
        <v>7</v>
      </c>
      <c r="J210" s="6">
        <v>8</v>
      </c>
      <c r="K210" s="6">
        <v>8</v>
      </c>
      <c r="L210" s="6">
        <v>11</v>
      </c>
      <c r="M210" s="6">
        <v>13</v>
      </c>
      <c r="N210" s="6"/>
      <c r="O210" s="6">
        <v>6</v>
      </c>
      <c r="P210" s="6"/>
      <c r="Q210" s="6"/>
      <c r="R210" s="6"/>
      <c r="S210" s="6">
        <v>7</v>
      </c>
      <c r="T210" s="6">
        <v>14</v>
      </c>
      <c r="U210" s="6"/>
      <c r="V210" s="17">
        <f t="shared" si="88"/>
        <v>74</v>
      </c>
      <c r="W210" s="17">
        <f t="shared" si="89"/>
        <v>9.25</v>
      </c>
      <c r="X210" s="8"/>
    </row>
    <row r="211" spans="1:24" ht="23.25" customHeight="1" x14ac:dyDescent="0.25">
      <c r="A211" s="29"/>
      <c r="B211" s="32"/>
      <c r="C211" s="35"/>
      <c r="D211" s="38"/>
      <c r="E211" s="41"/>
      <c r="F211" s="44"/>
      <c r="G211" s="48"/>
      <c r="H211" s="4" t="s">
        <v>24</v>
      </c>
      <c r="I211" s="20">
        <f t="shared" ref="I211:T211" si="95">(I209+I210)/2</f>
        <v>9</v>
      </c>
      <c r="J211" s="7">
        <f t="shared" si="95"/>
        <v>9.1649999999999991</v>
      </c>
      <c r="K211" s="7">
        <f t="shared" si="95"/>
        <v>10.75</v>
      </c>
      <c r="L211" s="7">
        <f t="shared" si="95"/>
        <v>13</v>
      </c>
      <c r="M211" s="7">
        <f t="shared" si="95"/>
        <v>11.914999999999999</v>
      </c>
      <c r="N211" s="7">
        <f t="shared" si="95"/>
        <v>0</v>
      </c>
      <c r="O211" s="7">
        <f t="shared" si="95"/>
        <v>9</v>
      </c>
      <c r="P211" s="7">
        <f t="shared" si="95"/>
        <v>0</v>
      </c>
      <c r="Q211" s="7">
        <f t="shared" si="95"/>
        <v>0</v>
      </c>
      <c r="R211" s="7">
        <f t="shared" si="95"/>
        <v>0</v>
      </c>
      <c r="S211" s="7">
        <f t="shared" si="95"/>
        <v>7.665</v>
      </c>
      <c r="T211" s="7">
        <f t="shared" si="95"/>
        <v>13.25</v>
      </c>
      <c r="U211" s="6"/>
      <c r="V211" s="17">
        <f t="shared" si="88"/>
        <v>83.745000000000005</v>
      </c>
      <c r="W211" s="17">
        <f t="shared" si="89"/>
        <v>10.468125000000001</v>
      </c>
      <c r="X211" s="8"/>
    </row>
    <row r="212" spans="1:24" ht="23.25" customHeight="1" x14ac:dyDescent="0.25">
      <c r="A212" s="29"/>
      <c r="B212" s="32"/>
      <c r="C212" s="35"/>
      <c r="D212" s="38"/>
      <c r="E212" s="41"/>
      <c r="F212" s="44"/>
      <c r="G212" s="49" t="s">
        <v>37</v>
      </c>
      <c r="H212" s="4" t="s">
        <v>22</v>
      </c>
      <c r="I212" s="19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7">
        <f t="shared" si="88"/>
        <v>0</v>
      </c>
      <c r="W212" s="17">
        <f t="shared" si="89"/>
        <v>0</v>
      </c>
      <c r="X212" s="8"/>
    </row>
    <row r="213" spans="1:24" ht="23.25" customHeight="1" x14ac:dyDescent="0.25">
      <c r="A213" s="29"/>
      <c r="B213" s="32"/>
      <c r="C213" s="35"/>
      <c r="D213" s="38"/>
      <c r="E213" s="41"/>
      <c r="F213" s="44"/>
      <c r="G213" s="47"/>
      <c r="H213" s="4" t="s">
        <v>23</v>
      </c>
      <c r="I213" s="19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7">
        <f t="shared" si="88"/>
        <v>0</v>
      </c>
      <c r="W213" s="17">
        <f t="shared" si="89"/>
        <v>0</v>
      </c>
      <c r="X213" s="8"/>
    </row>
    <row r="214" spans="1:24" ht="23.25" customHeight="1" x14ac:dyDescent="0.25">
      <c r="A214" s="29"/>
      <c r="B214" s="32"/>
      <c r="C214" s="35"/>
      <c r="D214" s="38"/>
      <c r="E214" s="41"/>
      <c r="F214" s="44"/>
      <c r="G214" s="48"/>
      <c r="H214" s="4" t="s">
        <v>25</v>
      </c>
      <c r="I214" s="20">
        <f t="shared" ref="I214:T214" si="96">(I212+I213)/2</f>
        <v>0</v>
      </c>
      <c r="J214" s="7">
        <f t="shared" si="96"/>
        <v>0</v>
      </c>
      <c r="K214" s="7">
        <f t="shared" si="96"/>
        <v>0</v>
      </c>
      <c r="L214" s="7">
        <f t="shared" si="96"/>
        <v>0</v>
      </c>
      <c r="M214" s="7">
        <f t="shared" si="96"/>
        <v>0</v>
      </c>
      <c r="N214" s="7">
        <f t="shared" si="96"/>
        <v>0</v>
      </c>
      <c r="O214" s="7">
        <f t="shared" si="96"/>
        <v>0</v>
      </c>
      <c r="P214" s="7">
        <f t="shared" si="96"/>
        <v>0</v>
      </c>
      <c r="Q214" s="7">
        <f t="shared" si="96"/>
        <v>0</v>
      </c>
      <c r="R214" s="7">
        <f t="shared" si="96"/>
        <v>0</v>
      </c>
      <c r="S214" s="7">
        <f t="shared" si="96"/>
        <v>0</v>
      </c>
      <c r="T214" s="7">
        <f t="shared" si="96"/>
        <v>0</v>
      </c>
      <c r="U214" s="6"/>
      <c r="V214" s="17">
        <f t="shared" si="88"/>
        <v>0</v>
      </c>
      <c r="W214" s="17">
        <f t="shared" si="89"/>
        <v>0</v>
      </c>
      <c r="X214" s="8"/>
    </row>
    <row r="215" spans="1:24" ht="23.25" customHeight="1" thickBot="1" x14ac:dyDescent="0.3">
      <c r="A215" s="30"/>
      <c r="B215" s="33"/>
      <c r="C215" s="36"/>
      <c r="D215" s="39"/>
      <c r="E215" s="52"/>
      <c r="F215" s="45"/>
      <c r="G215" s="50" t="s">
        <v>26</v>
      </c>
      <c r="H215" s="51"/>
      <c r="I215" s="20">
        <f t="shared" ref="I215:T215" si="97">(I211+I214)/2</f>
        <v>4.5</v>
      </c>
      <c r="J215" s="7">
        <f t="shared" si="97"/>
        <v>4.5824999999999996</v>
      </c>
      <c r="K215" s="7">
        <f t="shared" si="97"/>
        <v>5.375</v>
      </c>
      <c r="L215" s="7">
        <f t="shared" si="97"/>
        <v>6.5</v>
      </c>
      <c r="M215" s="7">
        <f t="shared" si="97"/>
        <v>5.9574999999999996</v>
      </c>
      <c r="N215" s="7">
        <f t="shared" si="97"/>
        <v>0</v>
      </c>
      <c r="O215" s="7">
        <f t="shared" si="97"/>
        <v>4.5</v>
      </c>
      <c r="P215" s="7">
        <f t="shared" si="97"/>
        <v>0</v>
      </c>
      <c r="Q215" s="7">
        <f t="shared" si="97"/>
        <v>0</v>
      </c>
      <c r="R215" s="7">
        <f t="shared" si="97"/>
        <v>0</v>
      </c>
      <c r="S215" s="7">
        <f t="shared" si="97"/>
        <v>3.8325</v>
      </c>
      <c r="T215" s="7">
        <f t="shared" si="97"/>
        <v>6.625</v>
      </c>
      <c r="U215" s="6"/>
      <c r="V215" s="17">
        <f t="shared" si="88"/>
        <v>41.872500000000002</v>
      </c>
      <c r="W215" s="17">
        <f t="shared" si="89"/>
        <v>5.2340625000000003</v>
      </c>
      <c r="X215" s="8"/>
    </row>
    <row r="216" spans="1:24" ht="23.25" customHeight="1" x14ac:dyDescent="0.25">
      <c r="A216" s="28">
        <v>31</v>
      </c>
      <c r="B216" s="31" t="s">
        <v>29</v>
      </c>
      <c r="C216" s="34" t="s">
        <v>28</v>
      </c>
      <c r="D216" s="37" t="s">
        <v>30</v>
      </c>
      <c r="E216" s="40" t="s">
        <v>70</v>
      </c>
      <c r="F216" s="43" t="s">
        <v>33</v>
      </c>
      <c r="G216" s="46" t="s">
        <v>36</v>
      </c>
      <c r="H216" s="3" t="s">
        <v>22</v>
      </c>
      <c r="I216" s="19">
        <v>9</v>
      </c>
      <c r="J216" s="6">
        <v>10.33</v>
      </c>
      <c r="K216" s="6">
        <v>10</v>
      </c>
      <c r="L216" s="6">
        <v>14.33</v>
      </c>
      <c r="M216" s="6">
        <v>11.66</v>
      </c>
      <c r="N216" s="6"/>
      <c r="O216" s="6">
        <v>12.66</v>
      </c>
      <c r="P216" s="6"/>
      <c r="Q216" s="6"/>
      <c r="R216" s="6"/>
      <c r="S216" s="6">
        <v>11.33</v>
      </c>
      <c r="T216" s="6">
        <v>14</v>
      </c>
      <c r="U216" s="6"/>
      <c r="V216" s="17">
        <f t="shared" si="88"/>
        <v>93.309999999999988</v>
      </c>
      <c r="W216" s="17">
        <f t="shared" si="89"/>
        <v>11.663749999999999</v>
      </c>
      <c r="X216" s="8"/>
    </row>
    <row r="217" spans="1:24" ht="23.25" customHeight="1" x14ac:dyDescent="0.25">
      <c r="A217" s="29"/>
      <c r="B217" s="32"/>
      <c r="C217" s="35"/>
      <c r="D217" s="38"/>
      <c r="E217" s="41"/>
      <c r="F217" s="44"/>
      <c r="G217" s="47"/>
      <c r="H217" s="4" t="s">
        <v>23</v>
      </c>
      <c r="I217" s="19">
        <v>7</v>
      </c>
      <c r="J217" s="6">
        <v>4</v>
      </c>
      <c r="K217" s="6">
        <v>6</v>
      </c>
      <c r="L217" s="6">
        <v>8.75</v>
      </c>
      <c r="M217" s="6">
        <v>14</v>
      </c>
      <c r="N217" s="6"/>
      <c r="O217" s="6">
        <v>14</v>
      </c>
      <c r="P217" s="6"/>
      <c r="Q217" s="6"/>
      <c r="R217" s="6"/>
      <c r="S217" s="6">
        <v>12.5</v>
      </c>
      <c r="T217" s="6">
        <v>12</v>
      </c>
      <c r="U217" s="6"/>
      <c r="V217" s="17">
        <f t="shared" si="88"/>
        <v>78.25</v>
      </c>
      <c r="W217" s="17">
        <f t="shared" si="89"/>
        <v>9.78125</v>
      </c>
      <c r="X217" s="8"/>
    </row>
    <row r="218" spans="1:24" ht="23.25" customHeight="1" x14ac:dyDescent="0.25">
      <c r="A218" s="29"/>
      <c r="B218" s="32"/>
      <c r="C218" s="35"/>
      <c r="D218" s="38"/>
      <c r="E218" s="41"/>
      <c r="F218" s="44"/>
      <c r="G218" s="48"/>
      <c r="H218" s="4" t="s">
        <v>24</v>
      </c>
      <c r="I218" s="20">
        <f t="shared" ref="I218:T218" si="98">(I216+I217)/2</f>
        <v>8</v>
      </c>
      <c r="J218" s="7">
        <f t="shared" si="98"/>
        <v>7.165</v>
      </c>
      <c r="K218" s="7">
        <f t="shared" si="98"/>
        <v>8</v>
      </c>
      <c r="L218" s="7">
        <f t="shared" si="98"/>
        <v>11.54</v>
      </c>
      <c r="M218" s="7">
        <f t="shared" si="98"/>
        <v>12.83</v>
      </c>
      <c r="N218" s="7">
        <f t="shared" si="98"/>
        <v>0</v>
      </c>
      <c r="O218" s="7">
        <f t="shared" si="98"/>
        <v>13.33</v>
      </c>
      <c r="P218" s="7">
        <f t="shared" si="98"/>
        <v>0</v>
      </c>
      <c r="Q218" s="7">
        <f t="shared" si="98"/>
        <v>0</v>
      </c>
      <c r="R218" s="7">
        <f t="shared" si="98"/>
        <v>0</v>
      </c>
      <c r="S218" s="7">
        <f t="shared" si="98"/>
        <v>11.914999999999999</v>
      </c>
      <c r="T218" s="7">
        <f t="shared" si="98"/>
        <v>13</v>
      </c>
      <c r="U218" s="6"/>
      <c r="V218" s="17">
        <f t="shared" si="88"/>
        <v>85.78</v>
      </c>
      <c r="W218" s="17">
        <f t="shared" si="89"/>
        <v>10.7225</v>
      </c>
      <c r="X218" s="8"/>
    </row>
    <row r="219" spans="1:24" ht="23.25" customHeight="1" x14ac:dyDescent="0.25">
      <c r="A219" s="29"/>
      <c r="B219" s="32"/>
      <c r="C219" s="35"/>
      <c r="D219" s="38"/>
      <c r="E219" s="41"/>
      <c r="F219" s="44"/>
      <c r="G219" s="49" t="s">
        <v>37</v>
      </c>
      <c r="H219" s="4" t="s">
        <v>22</v>
      </c>
      <c r="I219" s="19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7">
        <f t="shared" si="88"/>
        <v>0</v>
      </c>
      <c r="W219" s="17">
        <f t="shared" si="89"/>
        <v>0</v>
      </c>
      <c r="X219" s="8"/>
    </row>
    <row r="220" spans="1:24" ht="23.25" customHeight="1" x14ac:dyDescent="0.25">
      <c r="A220" s="29"/>
      <c r="B220" s="32"/>
      <c r="C220" s="35"/>
      <c r="D220" s="38"/>
      <c r="E220" s="41"/>
      <c r="F220" s="44"/>
      <c r="G220" s="47"/>
      <c r="H220" s="4" t="s">
        <v>23</v>
      </c>
      <c r="I220" s="19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7">
        <f t="shared" si="88"/>
        <v>0</v>
      </c>
      <c r="W220" s="17">
        <f t="shared" si="89"/>
        <v>0</v>
      </c>
      <c r="X220" s="8"/>
    </row>
    <row r="221" spans="1:24" ht="23.25" customHeight="1" x14ac:dyDescent="0.25">
      <c r="A221" s="29"/>
      <c r="B221" s="32"/>
      <c r="C221" s="35"/>
      <c r="D221" s="38"/>
      <c r="E221" s="41"/>
      <c r="F221" s="44"/>
      <c r="G221" s="48"/>
      <c r="H221" s="4" t="s">
        <v>25</v>
      </c>
      <c r="I221" s="20">
        <f t="shared" ref="I221:T221" si="99">(I219+I220)/2</f>
        <v>0</v>
      </c>
      <c r="J221" s="7">
        <f t="shared" si="99"/>
        <v>0</v>
      </c>
      <c r="K221" s="7">
        <f t="shared" si="99"/>
        <v>0</v>
      </c>
      <c r="L221" s="7">
        <f t="shared" si="99"/>
        <v>0</v>
      </c>
      <c r="M221" s="7">
        <f t="shared" si="99"/>
        <v>0</v>
      </c>
      <c r="N221" s="7">
        <f t="shared" si="99"/>
        <v>0</v>
      </c>
      <c r="O221" s="7">
        <f t="shared" si="99"/>
        <v>0</v>
      </c>
      <c r="P221" s="7">
        <f t="shared" si="99"/>
        <v>0</v>
      </c>
      <c r="Q221" s="7">
        <f t="shared" si="99"/>
        <v>0</v>
      </c>
      <c r="R221" s="7">
        <f t="shared" si="99"/>
        <v>0</v>
      </c>
      <c r="S221" s="7">
        <f t="shared" si="99"/>
        <v>0</v>
      </c>
      <c r="T221" s="7">
        <f t="shared" si="99"/>
        <v>0</v>
      </c>
      <c r="U221" s="6"/>
      <c r="V221" s="17">
        <f t="shared" si="88"/>
        <v>0</v>
      </c>
      <c r="W221" s="17">
        <f t="shared" si="89"/>
        <v>0</v>
      </c>
      <c r="X221" s="8"/>
    </row>
    <row r="222" spans="1:24" ht="23.25" customHeight="1" thickBot="1" x14ac:dyDescent="0.3">
      <c r="A222" s="30"/>
      <c r="B222" s="33"/>
      <c r="C222" s="36"/>
      <c r="D222" s="39"/>
      <c r="E222" s="52"/>
      <c r="F222" s="45"/>
      <c r="G222" s="50" t="s">
        <v>26</v>
      </c>
      <c r="H222" s="51"/>
      <c r="I222" s="20">
        <f t="shared" ref="I222:T222" si="100">(I218+I221)/2</f>
        <v>4</v>
      </c>
      <c r="J222" s="7">
        <f t="shared" si="100"/>
        <v>3.5825</v>
      </c>
      <c r="K222" s="7">
        <f t="shared" si="100"/>
        <v>4</v>
      </c>
      <c r="L222" s="7">
        <f t="shared" si="100"/>
        <v>5.77</v>
      </c>
      <c r="M222" s="7">
        <f t="shared" si="100"/>
        <v>6.415</v>
      </c>
      <c r="N222" s="7">
        <f t="shared" si="100"/>
        <v>0</v>
      </c>
      <c r="O222" s="7">
        <f t="shared" si="100"/>
        <v>6.665</v>
      </c>
      <c r="P222" s="7">
        <f t="shared" si="100"/>
        <v>0</v>
      </c>
      <c r="Q222" s="7">
        <f t="shared" si="100"/>
        <v>0</v>
      </c>
      <c r="R222" s="7">
        <f t="shared" si="100"/>
        <v>0</v>
      </c>
      <c r="S222" s="7">
        <f t="shared" si="100"/>
        <v>5.9574999999999996</v>
      </c>
      <c r="T222" s="7">
        <f t="shared" si="100"/>
        <v>6.5</v>
      </c>
      <c r="U222" s="6"/>
      <c r="V222" s="17">
        <f t="shared" si="88"/>
        <v>42.89</v>
      </c>
      <c r="W222" s="17">
        <f t="shared" si="89"/>
        <v>5.3612500000000001</v>
      </c>
      <c r="X222" s="8"/>
    </row>
    <row r="223" spans="1:24" ht="23.25" customHeight="1" x14ac:dyDescent="0.25">
      <c r="A223" s="28">
        <v>32</v>
      </c>
      <c r="B223" s="31" t="s">
        <v>29</v>
      </c>
      <c r="C223" s="34" t="s">
        <v>28</v>
      </c>
      <c r="D223" s="37" t="s">
        <v>30</v>
      </c>
      <c r="E223" s="40" t="s">
        <v>71</v>
      </c>
      <c r="F223" s="43" t="s">
        <v>32</v>
      </c>
      <c r="G223" s="46" t="s">
        <v>36</v>
      </c>
      <c r="H223" s="3" t="s">
        <v>22</v>
      </c>
      <c r="I223" s="19">
        <v>5.67</v>
      </c>
      <c r="J223" s="6">
        <v>10.66</v>
      </c>
      <c r="K223" s="6">
        <v>9.5</v>
      </c>
      <c r="L223" s="6">
        <v>12.67</v>
      </c>
      <c r="M223" s="6">
        <v>2.33</v>
      </c>
      <c r="N223" s="6"/>
      <c r="O223" s="6">
        <v>11.83</v>
      </c>
      <c r="P223" s="6"/>
      <c r="Q223" s="6"/>
      <c r="R223" s="6"/>
      <c r="S223" s="6">
        <v>2.33</v>
      </c>
      <c r="T223" s="6">
        <v>12</v>
      </c>
      <c r="U223" s="6"/>
      <c r="V223" s="17">
        <f t="shared" si="88"/>
        <v>66.989999999999995</v>
      </c>
      <c r="W223" s="17">
        <f t="shared" si="89"/>
        <v>8.3737499999999994</v>
      </c>
      <c r="X223" s="8"/>
    </row>
    <row r="224" spans="1:24" ht="23.25" customHeight="1" x14ac:dyDescent="0.25">
      <c r="A224" s="29"/>
      <c r="B224" s="32"/>
      <c r="C224" s="35"/>
      <c r="D224" s="38"/>
      <c r="E224" s="41"/>
      <c r="F224" s="44"/>
      <c r="G224" s="47"/>
      <c r="H224" s="4" t="s">
        <v>23</v>
      </c>
      <c r="I224" s="19">
        <v>5</v>
      </c>
      <c r="J224" s="6">
        <v>5</v>
      </c>
      <c r="K224" s="6">
        <v>8</v>
      </c>
      <c r="L224" s="6">
        <v>8.5</v>
      </c>
      <c r="M224" s="6">
        <v>15.5</v>
      </c>
      <c r="N224" s="6"/>
      <c r="O224" s="6">
        <v>9</v>
      </c>
      <c r="P224" s="6"/>
      <c r="Q224" s="6"/>
      <c r="R224" s="6"/>
      <c r="S224" s="6">
        <v>10</v>
      </c>
      <c r="T224" s="6">
        <v>4</v>
      </c>
      <c r="U224" s="6"/>
      <c r="V224" s="17">
        <f t="shared" si="88"/>
        <v>65</v>
      </c>
      <c r="W224" s="17">
        <f t="shared" si="89"/>
        <v>8.125</v>
      </c>
      <c r="X224" s="8"/>
    </row>
    <row r="225" spans="1:24" ht="23.25" customHeight="1" x14ac:dyDescent="0.25">
      <c r="A225" s="29"/>
      <c r="B225" s="32"/>
      <c r="C225" s="35"/>
      <c r="D225" s="38"/>
      <c r="E225" s="41"/>
      <c r="F225" s="44"/>
      <c r="G225" s="48"/>
      <c r="H225" s="4" t="s">
        <v>24</v>
      </c>
      <c r="I225" s="20">
        <f t="shared" ref="I225:T225" si="101">(I223+I224)/2</f>
        <v>5.335</v>
      </c>
      <c r="J225" s="7">
        <f t="shared" si="101"/>
        <v>7.83</v>
      </c>
      <c r="K225" s="7">
        <f t="shared" si="101"/>
        <v>8.75</v>
      </c>
      <c r="L225" s="7">
        <f t="shared" si="101"/>
        <v>10.585000000000001</v>
      </c>
      <c r="M225" s="7">
        <f t="shared" si="101"/>
        <v>8.9149999999999991</v>
      </c>
      <c r="N225" s="7">
        <f t="shared" si="101"/>
        <v>0</v>
      </c>
      <c r="O225" s="7">
        <f t="shared" si="101"/>
        <v>10.414999999999999</v>
      </c>
      <c r="P225" s="7">
        <f t="shared" si="101"/>
        <v>0</v>
      </c>
      <c r="Q225" s="7">
        <f t="shared" si="101"/>
        <v>0</v>
      </c>
      <c r="R225" s="7">
        <f t="shared" si="101"/>
        <v>0</v>
      </c>
      <c r="S225" s="7">
        <f t="shared" si="101"/>
        <v>6.165</v>
      </c>
      <c r="T225" s="7">
        <f t="shared" si="101"/>
        <v>8</v>
      </c>
      <c r="U225" s="6"/>
      <c r="V225" s="17">
        <f t="shared" si="88"/>
        <v>65.995000000000005</v>
      </c>
      <c r="W225" s="17">
        <f t="shared" si="89"/>
        <v>8.2493750000000006</v>
      </c>
      <c r="X225" s="8"/>
    </row>
    <row r="226" spans="1:24" ht="23.25" customHeight="1" x14ac:dyDescent="0.25">
      <c r="A226" s="29"/>
      <c r="B226" s="32"/>
      <c r="C226" s="35"/>
      <c r="D226" s="38"/>
      <c r="E226" s="41"/>
      <c r="F226" s="44"/>
      <c r="G226" s="49" t="s">
        <v>37</v>
      </c>
      <c r="H226" s="4" t="s">
        <v>22</v>
      </c>
      <c r="I226" s="19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7">
        <f t="shared" si="88"/>
        <v>0</v>
      </c>
      <c r="W226" s="17">
        <f t="shared" si="89"/>
        <v>0</v>
      </c>
      <c r="X226" s="8"/>
    </row>
    <row r="227" spans="1:24" ht="23.25" customHeight="1" x14ac:dyDescent="0.25">
      <c r="A227" s="29"/>
      <c r="B227" s="32"/>
      <c r="C227" s="35"/>
      <c r="D227" s="38"/>
      <c r="E227" s="41"/>
      <c r="F227" s="44"/>
      <c r="G227" s="47"/>
      <c r="H227" s="4" t="s">
        <v>23</v>
      </c>
      <c r="I227" s="19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7">
        <f t="shared" si="88"/>
        <v>0</v>
      </c>
      <c r="W227" s="17">
        <f t="shared" si="89"/>
        <v>0</v>
      </c>
      <c r="X227" s="8"/>
    </row>
    <row r="228" spans="1:24" ht="23.25" customHeight="1" x14ac:dyDescent="0.25">
      <c r="A228" s="29"/>
      <c r="B228" s="32"/>
      <c r="C228" s="35"/>
      <c r="D228" s="38"/>
      <c r="E228" s="41"/>
      <c r="F228" s="44"/>
      <c r="G228" s="48"/>
      <c r="H228" s="4" t="s">
        <v>25</v>
      </c>
      <c r="I228" s="20">
        <f t="shared" ref="I228:T228" si="102">(I226+I227)/2</f>
        <v>0</v>
      </c>
      <c r="J228" s="7">
        <f t="shared" si="102"/>
        <v>0</v>
      </c>
      <c r="K228" s="7">
        <f t="shared" si="102"/>
        <v>0</v>
      </c>
      <c r="L228" s="7">
        <f t="shared" si="102"/>
        <v>0</v>
      </c>
      <c r="M228" s="7">
        <f t="shared" si="102"/>
        <v>0</v>
      </c>
      <c r="N228" s="7">
        <f t="shared" si="102"/>
        <v>0</v>
      </c>
      <c r="O228" s="7">
        <f t="shared" si="102"/>
        <v>0</v>
      </c>
      <c r="P228" s="7">
        <f t="shared" si="102"/>
        <v>0</v>
      </c>
      <c r="Q228" s="7">
        <f t="shared" si="102"/>
        <v>0</v>
      </c>
      <c r="R228" s="7">
        <f t="shared" si="102"/>
        <v>0</v>
      </c>
      <c r="S228" s="7">
        <f t="shared" si="102"/>
        <v>0</v>
      </c>
      <c r="T228" s="7">
        <f t="shared" si="102"/>
        <v>0</v>
      </c>
      <c r="U228" s="6"/>
      <c r="V228" s="17">
        <f t="shared" si="88"/>
        <v>0</v>
      </c>
      <c r="W228" s="17">
        <f t="shared" si="89"/>
        <v>0</v>
      </c>
      <c r="X228" s="8"/>
    </row>
    <row r="229" spans="1:24" ht="23.25" customHeight="1" thickBot="1" x14ac:dyDescent="0.3">
      <c r="A229" s="30"/>
      <c r="B229" s="33"/>
      <c r="C229" s="36"/>
      <c r="D229" s="39"/>
      <c r="E229" s="52"/>
      <c r="F229" s="45"/>
      <c r="G229" s="50" t="s">
        <v>26</v>
      </c>
      <c r="H229" s="51"/>
      <c r="I229" s="20">
        <f t="shared" ref="I229:T229" si="103">(I225+I228)/2</f>
        <v>2.6675</v>
      </c>
      <c r="J229" s="7">
        <f t="shared" si="103"/>
        <v>3.915</v>
      </c>
      <c r="K229" s="7">
        <f t="shared" si="103"/>
        <v>4.375</v>
      </c>
      <c r="L229" s="7">
        <f t="shared" si="103"/>
        <v>5.2925000000000004</v>
      </c>
      <c r="M229" s="7">
        <f t="shared" si="103"/>
        <v>4.4574999999999996</v>
      </c>
      <c r="N229" s="7">
        <f t="shared" si="103"/>
        <v>0</v>
      </c>
      <c r="O229" s="7">
        <f t="shared" si="103"/>
        <v>5.2074999999999996</v>
      </c>
      <c r="P229" s="7">
        <f t="shared" si="103"/>
        <v>0</v>
      </c>
      <c r="Q229" s="7">
        <f t="shared" si="103"/>
        <v>0</v>
      </c>
      <c r="R229" s="7">
        <f t="shared" si="103"/>
        <v>0</v>
      </c>
      <c r="S229" s="7">
        <f t="shared" si="103"/>
        <v>3.0825</v>
      </c>
      <c r="T229" s="7">
        <f t="shared" si="103"/>
        <v>4</v>
      </c>
      <c r="U229" s="6"/>
      <c r="V229" s="17">
        <f t="shared" si="88"/>
        <v>32.997500000000002</v>
      </c>
      <c r="W229" s="17">
        <f t="shared" si="89"/>
        <v>4.1246875000000003</v>
      </c>
      <c r="X229" s="8"/>
    </row>
    <row r="230" spans="1:24" ht="23.25" customHeight="1" x14ac:dyDescent="0.25">
      <c r="A230" s="28">
        <v>33</v>
      </c>
      <c r="B230" s="31" t="s">
        <v>29</v>
      </c>
      <c r="C230" s="34" t="s">
        <v>28</v>
      </c>
      <c r="D230" s="37" t="s">
        <v>30</v>
      </c>
      <c r="E230" s="40" t="s">
        <v>72</v>
      </c>
      <c r="F230" s="43" t="s">
        <v>32</v>
      </c>
      <c r="G230" s="46" t="s">
        <v>36</v>
      </c>
      <c r="H230" s="3" t="s">
        <v>22</v>
      </c>
      <c r="I230" s="19">
        <v>10.67</v>
      </c>
      <c r="J230" s="6">
        <v>10.66</v>
      </c>
      <c r="K230" s="6">
        <v>13</v>
      </c>
      <c r="L230" s="6">
        <v>16</v>
      </c>
      <c r="M230" s="6">
        <v>15.16</v>
      </c>
      <c r="N230" s="6"/>
      <c r="O230" s="6">
        <v>12.33</v>
      </c>
      <c r="P230" s="6"/>
      <c r="Q230" s="6"/>
      <c r="R230" s="6"/>
      <c r="S230" s="6">
        <v>14</v>
      </c>
      <c r="T230" s="6">
        <v>12</v>
      </c>
      <c r="U230" s="6"/>
      <c r="V230" s="17">
        <f t="shared" si="88"/>
        <v>103.82</v>
      </c>
      <c r="W230" s="17">
        <f t="shared" si="89"/>
        <v>12.977499999999999</v>
      </c>
      <c r="X230" s="8"/>
    </row>
    <row r="231" spans="1:24" ht="23.25" customHeight="1" x14ac:dyDescent="0.25">
      <c r="A231" s="29"/>
      <c r="B231" s="32"/>
      <c r="C231" s="35"/>
      <c r="D231" s="38"/>
      <c r="E231" s="41"/>
      <c r="F231" s="44"/>
      <c r="G231" s="47"/>
      <c r="H231" s="4" t="s">
        <v>23</v>
      </c>
      <c r="I231" s="19">
        <v>7</v>
      </c>
      <c r="J231" s="6">
        <v>6</v>
      </c>
      <c r="K231" s="6">
        <v>15</v>
      </c>
      <c r="L231" s="6">
        <v>17.25</v>
      </c>
      <c r="M231" s="6">
        <v>17.5</v>
      </c>
      <c r="N231" s="6"/>
      <c r="O231" s="6">
        <v>14</v>
      </c>
      <c r="P231" s="6"/>
      <c r="Q231" s="6"/>
      <c r="R231" s="6"/>
      <c r="S231" s="6">
        <v>14</v>
      </c>
      <c r="T231" s="6">
        <v>7</v>
      </c>
      <c r="U231" s="6"/>
      <c r="V231" s="17">
        <f t="shared" si="88"/>
        <v>97.75</v>
      </c>
      <c r="W231" s="17">
        <f t="shared" si="89"/>
        <v>12.21875</v>
      </c>
      <c r="X231" s="8"/>
    </row>
    <row r="232" spans="1:24" ht="23.25" customHeight="1" x14ac:dyDescent="0.25">
      <c r="A232" s="29"/>
      <c r="B232" s="32"/>
      <c r="C232" s="35"/>
      <c r="D232" s="38"/>
      <c r="E232" s="41"/>
      <c r="F232" s="44"/>
      <c r="G232" s="48"/>
      <c r="H232" s="4" t="s">
        <v>24</v>
      </c>
      <c r="I232" s="20">
        <f t="shared" ref="I232:T232" si="104">(I230+I231)/2</f>
        <v>8.8350000000000009</v>
      </c>
      <c r="J232" s="7">
        <f t="shared" si="104"/>
        <v>8.33</v>
      </c>
      <c r="K232" s="7">
        <f t="shared" si="104"/>
        <v>14</v>
      </c>
      <c r="L232" s="7">
        <f t="shared" si="104"/>
        <v>16.625</v>
      </c>
      <c r="M232" s="7">
        <f t="shared" si="104"/>
        <v>16.329999999999998</v>
      </c>
      <c r="N232" s="7">
        <f t="shared" si="104"/>
        <v>0</v>
      </c>
      <c r="O232" s="7">
        <f t="shared" si="104"/>
        <v>13.164999999999999</v>
      </c>
      <c r="P232" s="7">
        <f t="shared" si="104"/>
        <v>0</v>
      </c>
      <c r="Q232" s="7">
        <f t="shared" si="104"/>
        <v>0</v>
      </c>
      <c r="R232" s="7">
        <f t="shared" si="104"/>
        <v>0</v>
      </c>
      <c r="S232" s="7">
        <f t="shared" si="104"/>
        <v>14</v>
      </c>
      <c r="T232" s="7">
        <f t="shared" si="104"/>
        <v>9.5</v>
      </c>
      <c r="U232" s="6"/>
      <c r="V232" s="17">
        <f t="shared" si="88"/>
        <v>100.785</v>
      </c>
      <c r="W232" s="17">
        <f t="shared" si="89"/>
        <v>12.598125</v>
      </c>
      <c r="X232" s="8"/>
    </row>
    <row r="233" spans="1:24" ht="23.25" customHeight="1" x14ac:dyDescent="0.25">
      <c r="A233" s="29"/>
      <c r="B233" s="32"/>
      <c r="C233" s="35"/>
      <c r="D233" s="38"/>
      <c r="E233" s="41"/>
      <c r="F233" s="44"/>
      <c r="G233" s="49" t="s">
        <v>37</v>
      </c>
      <c r="H233" s="4" t="s">
        <v>22</v>
      </c>
      <c r="I233" s="19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7">
        <f t="shared" si="88"/>
        <v>0</v>
      </c>
      <c r="W233" s="17">
        <f t="shared" si="89"/>
        <v>0</v>
      </c>
      <c r="X233" s="8"/>
    </row>
    <row r="234" spans="1:24" ht="23.25" customHeight="1" x14ac:dyDescent="0.25">
      <c r="A234" s="29"/>
      <c r="B234" s="32"/>
      <c r="C234" s="35"/>
      <c r="D234" s="38"/>
      <c r="E234" s="41"/>
      <c r="F234" s="44"/>
      <c r="G234" s="47"/>
      <c r="H234" s="4" t="s">
        <v>23</v>
      </c>
      <c r="I234" s="19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7">
        <f t="shared" si="88"/>
        <v>0</v>
      </c>
      <c r="W234" s="17">
        <f t="shared" si="89"/>
        <v>0</v>
      </c>
      <c r="X234" s="8"/>
    </row>
    <row r="235" spans="1:24" ht="23.25" customHeight="1" x14ac:dyDescent="0.25">
      <c r="A235" s="29"/>
      <c r="B235" s="32"/>
      <c r="C235" s="35"/>
      <c r="D235" s="38"/>
      <c r="E235" s="41"/>
      <c r="F235" s="44"/>
      <c r="G235" s="48"/>
      <c r="H235" s="4" t="s">
        <v>25</v>
      </c>
      <c r="I235" s="20">
        <f t="shared" ref="I235:T235" si="105">(I233+I234)/2</f>
        <v>0</v>
      </c>
      <c r="J235" s="7">
        <f t="shared" si="105"/>
        <v>0</v>
      </c>
      <c r="K235" s="7">
        <f t="shared" si="105"/>
        <v>0</v>
      </c>
      <c r="L235" s="7">
        <f t="shared" si="105"/>
        <v>0</v>
      </c>
      <c r="M235" s="7">
        <f t="shared" si="105"/>
        <v>0</v>
      </c>
      <c r="N235" s="7">
        <f t="shared" si="105"/>
        <v>0</v>
      </c>
      <c r="O235" s="7">
        <f t="shared" si="105"/>
        <v>0</v>
      </c>
      <c r="P235" s="7">
        <f t="shared" si="105"/>
        <v>0</v>
      </c>
      <c r="Q235" s="7">
        <f t="shared" si="105"/>
        <v>0</v>
      </c>
      <c r="R235" s="7">
        <f t="shared" si="105"/>
        <v>0</v>
      </c>
      <c r="S235" s="7">
        <f t="shared" si="105"/>
        <v>0</v>
      </c>
      <c r="T235" s="7">
        <f t="shared" si="105"/>
        <v>0</v>
      </c>
      <c r="U235" s="6"/>
      <c r="V235" s="17">
        <f t="shared" si="88"/>
        <v>0</v>
      </c>
      <c r="W235" s="17">
        <f t="shared" si="89"/>
        <v>0</v>
      </c>
      <c r="X235" s="8"/>
    </row>
    <row r="236" spans="1:24" ht="23.25" customHeight="1" thickBot="1" x14ac:dyDescent="0.3">
      <c r="A236" s="30"/>
      <c r="B236" s="33"/>
      <c r="C236" s="36"/>
      <c r="D236" s="39"/>
      <c r="E236" s="52"/>
      <c r="F236" s="45"/>
      <c r="G236" s="50" t="s">
        <v>26</v>
      </c>
      <c r="H236" s="51"/>
      <c r="I236" s="20">
        <f t="shared" ref="I236:T236" si="106">(I232+I235)/2</f>
        <v>4.4175000000000004</v>
      </c>
      <c r="J236" s="7">
        <f t="shared" si="106"/>
        <v>4.165</v>
      </c>
      <c r="K236" s="7">
        <f t="shared" si="106"/>
        <v>7</v>
      </c>
      <c r="L236" s="7">
        <f t="shared" si="106"/>
        <v>8.3125</v>
      </c>
      <c r="M236" s="7">
        <f t="shared" si="106"/>
        <v>8.1649999999999991</v>
      </c>
      <c r="N236" s="7">
        <f t="shared" si="106"/>
        <v>0</v>
      </c>
      <c r="O236" s="7">
        <f t="shared" si="106"/>
        <v>6.5824999999999996</v>
      </c>
      <c r="P236" s="7">
        <f t="shared" si="106"/>
        <v>0</v>
      </c>
      <c r="Q236" s="7">
        <f t="shared" si="106"/>
        <v>0</v>
      </c>
      <c r="R236" s="7">
        <f t="shared" si="106"/>
        <v>0</v>
      </c>
      <c r="S236" s="7">
        <f t="shared" si="106"/>
        <v>7</v>
      </c>
      <c r="T236" s="7">
        <f t="shared" si="106"/>
        <v>4.75</v>
      </c>
      <c r="U236" s="6"/>
      <c r="V236" s="17">
        <f t="shared" si="88"/>
        <v>50.392499999999998</v>
      </c>
      <c r="W236" s="17">
        <f t="shared" si="89"/>
        <v>6.2990624999999998</v>
      </c>
      <c r="X236" s="8"/>
    </row>
    <row r="237" spans="1:24" ht="23.25" customHeight="1" x14ac:dyDescent="0.25">
      <c r="A237" s="28">
        <v>34</v>
      </c>
      <c r="B237" s="31" t="s">
        <v>29</v>
      </c>
      <c r="C237" s="34" t="s">
        <v>28</v>
      </c>
      <c r="D237" s="37" t="s">
        <v>30</v>
      </c>
      <c r="E237" s="40" t="s">
        <v>73</v>
      </c>
      <c r="F237" s="43" t="s">
        <v>32</v>
      </c>
      <c r="G237" s="46" t="s">
        <v>36</v>
      </c>
      <c r="H237" s="3" t="s">
        <v>22</v>
      </c>
      <c r="I237" s="19">
        <v>10.67</v>
      </c>
      <c r="J237" s="6">
        <v>11</v>
      </c>
      <c r="K237" s="6">
        <v>13</v>
      </c>
      <c r="L237" s="6">
        <v>16</v>
      </c>
      <c r="M237" s="6">
        <v>0</v>
      </c>
      <c r="N237" s="6"/>
      <c r="O237" s="6">
        <v>13.33</v>
      </c>
      <c r="P237" s="6"/>
      <c r="Q237" s="6"/>
      <c r="R237" s="6"/>
      <c r="S237" s="6">
        <v>3.33</v>
      </c>
      <c r="T237" s="6">
        <v>15.5</v>
      </c>
      <c r="U237" s="6"/>
      <c r="V237" s="17">
        <f t="shared" si="88"/>
        <v>82.83</v>
      </c>
      <c r="W237" s="17">
        <f t="shared" si="89"/>
        <v>10.35375</v>
      </c>
      <c r="X237" s="8"/>
    </row>
    <row r="238" spans="1:24" ht="23.25" customHeight="1" x14ac:dyDescent="0.25">
      <c r="A238" s="29"/>
      <c r="B238" s="32"/>
      <c r="C238" s="35"/>
      <c r="D238" s="38"/>
      <c r="E238" s="41"/>
      <c r="F238" s="44"/>
      <c r="G238" s="47"/>
      <c r="H238" s="4" t="s">
        <v>23</v>
      </c>
      <c r="I238" s="19">
        <v>11</v>
      </c>
      <c r="J238" s="6">
        <v>7</v>
      </c>
      <c r="K238" s="6">
        <v>13</v>
      </c>
      <c r="L238" s="6">
        <v>18</v>
      </c>
      <c r="M238" s="6">
        <v>16</v>
      </c>
      <c r="N238" s="6"/>
      <c r="O238" s="6">
        <v>9</v>
      </c>
      <c r="P238" s="6"/>
      <c r="Q238" s="6"/>
      <c r="R238" s="6"/>
      <c r="S238" s="6">
        <v>8</v>
      </c>
      <c r="T238" s="6">
        <v>8</v>
      </c>
      <c r="U238" s="6"/>
      <c r="V238" s="17">
        <f t="shared" si="88"/>
        <v>90</v>
      </c>
      <c r="W238" s="17">
        <f t="shared" si="89"/>
        <v>11.25</v>
      </c>
      <c r="X238" s="8"/>
    </row>
    <row r="239" spans="1:24" ht="23.25" customHeight="1" x14ac:dyDescent="0.25">
      <c r="A239" s="29"/>
      <c r="B239" s="32"/>
      <c r="C239" s="35"/>
      <c r="D239" s="38"/>
      <c r="E239" s="41"/>
      <c r="F239" s="44"/>
      <c r="G239" s="48"/>
      <c r="H239" s="4" t="s">
        <v>24</v>
      </c>
      <c r="I239" s="20">
        <f t="shared" ref="I239:T239" si="107">(I237+I238)/2</f>
        <v>10.835000000000001</v>
      </c>
      <c r="J239" s="7">
        <f t="shared" si="107"/>
        <v>9</v>
      </c>
      <c r="K239" s="7">
        <f t="shared" si="107"/>
        <v>13</v>
      </c>
      <c r="L239" s="7">
        <f t="shared" si="107"/>
        <v>17</v>
      </c>
      <c r="M239" s="7">
        <f t="shared" si="107"/>
        <v>8</v>
      </c>
      <c r="N239" s="7">
        <f t="shared" si="107"/>
        <v>0</v>
      </c>
      <c r="O239" s="7">
        <f t="shared" si="107"/>
        <v>11.164999999999999</v>
      </c>
      <c r="P239" s="7">
        <f t="shared" si="107"/>
        <v>0</v>
      </c>
      <c r="Q239" s="7">
        <f t="shared" si="107"/>
        <v>0</v>
      </c>
      <c r="R239" s="7">
        <f t="shared" si="107"/>
        <v>0</v>
      </c>
      <c r="S239" s="7">
        <f t="shared" si="107"/>
        <v>5.665</v>
      </c>
      <c r="T239" s="7">
        <f t="shared" si="107"/>
        <v>11.75</v>
      </c>
      <c r="U239" s="6"/>
      <c r="V239" s="17">
        <f t="shared" si="88"/>
        <v>86.415000000000006</v>
      </c>
      <c r="W239" s="17">
        <f t="shared" si="89"/>
        <v>10.801875000000001</v>
      </c>
      <c r="X239" s="8"/>
    </row>
    <row r="240" spans="1:24" ht="23.25" customHeight="1" x14ac:dyDescent="0.25">
      <c r="A240" s="29"/>
      <c r="B240" s="32"/>
      <c r="C240" s="35"/>
      <c r="D240" s="38"/>
      <c r="E240" s="41"/>
      <c r="F240" s="44"/>
      <c r="G240" s="49" t="s">
        <v>37</v>
      </c>
      <c r="H240" s="4" t="s">
        <v>22</v>
      </c>
      <c r="I240" s="19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7">
        <f t="shared" si="88"/>
        <v>0</v>
      </c>
      <c r="W240" s="17">
        <f t="shared" si="89"/>
        <v>0</v>
      </c>
      <c r="X240" s="8"/>
    </row>
    <row r="241" spans="1:24" ht="23.25" customHeight="1" x14ac:dyDescent="0.25">
      <c r="A241" s="29"/>
      <c r="B241" s="32"/>
      <c r="C241" s="35"/>
      <c r="D241" s="38"/>
      <c r="E241" s="41"/>
      <c r="F241" s="44"/>
      <c r="G241" s="47"/>
      <c r="H241" s="4" t="s">
        <v>23</v>
      </c>
      <c r="I241" s="19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7">
        <f t="shared" si="88"/>
        <v>0</v>
      </c>
      <c r="W241" s="17">
        <f t="shared" si="89"/>
        <v>0</v>
      </c>
      <c r="X241" s="8"/>
    </row>
    <row r="242" spans="1:24" ht="23.25" customHeight="1" x14ac:dyDescent="0.25">
      <c r="A242" s="29"/>
      <c r="B242" s="32"/>
      <c r="C242" s="35"/>
      <c r="D242" s="38"/>
      <c r="E242" s="41"/>
      <c r="F242" s="44"/>
      <c r="G242" s="48"/>
      <c r="H242" s="4" t="s">
        <v>25</v>
      </c>
      <c r="I242" s="20">
        <f t="shared" ref="I242:T242" si="108">(I240+I241)/2</f>
        <v>0</v>
      </c>
      <c r="J242" s="7">
        <f t="shared" si="108"/>
        <v>0</v>
      </c>
      <c r="K242" s="7">
        <f t="shared" si="108"/>
        <v>0</v>
      </c>
      <c r="L242" s="7">
        <f t="shared" si="108"/>
        <v>0</v>
      </c>
      <c r="M242" s="7">
        <f t="shared" si="108"/>
        <v>0</v>
      </c>
      <c r="N242" s="7">
        <f t="shared" si="108"/>
        <v>0</v>
      </c>
      <c r="O242" s="7">
        <f t="shared" si="108"/>
        <v>0</v>
      </c>
      <c r="P242" s="7">
        <f t="shared" si="108"/>
        <v>0</v>
      </c>
      <c r="Q242" s="7">
        <f t="shared" si="108"/>
        <v>0</v>
      </c>
      <c r="R242" s="7">
        <f t="shared" si="108"/>
        <v>0</v>
      </c>
      <c r="S242" s="7">
        <f t="shared" si="108"/>
        <v>0</v>
      </c>
      <c r="T242" s="7">
        <f t="shared" si="108"/>
        <v>0</v>
      </c>
      <c r="U242" s="6"/>
      <c r="V242" s="17">
        <f t="shared" si="88"/>
        <v>0</v>
      </c>
      <c r="W242" s="17">
        <f t="shared" si="89"/>
        <v>0</v>
      </c>
      <c r="X242" s="8"/>
    </row>
    <row r="243" spans="1:24" ht="23.25" customHeight="1" thickBot="1" x14ac:dyDescent="0.3">
      <c r="A243" s="30"/>
      <c r="B243" s="33"/>
      <c r="C243" s="36"/>
      <c r="D243" s="39"/>
      <c r="E243" s="52"/>
      <c r="F243" s="45"/>
      <c r="G243" s="50" t="s">
        <v>26</v>
      </c>
      <c r="H243" s="51"/>
      <c r="I243" s="20">
        <f t="shared" ref="I243:T243" si="109">(I239+I242)/2</f>
        <v>5.4175000000000004</v>
      </c>
      <c r="J243" s="7">
        <f t="shared" si="109"/>
        <v>4.5</v>
      </c>
      <c r="K243" s="7">
        <f t="shared" si="109"/>
        <v>6.5</v>
      </c>
      <c r="L243" s="7">
        <f t="shared" si="109"/>
        <v>8.5</v>
      </c>
      <c r="M243" s="7">
        <f t="shared" si="109"/>
        <v>4</v>
      </c>
      <c r="N243" s="7">
        <f t="shared" si="109"/>
        <v>0</v>
      </c>
      <c r="O243" s="7">
        <f t="shared" si="109"/>
        <v>5.5824999999999996</v>
      </c>
      <c r="P243" s="7">
        <f t="shared" si="109"/>
        <v>0</v>
      </c>
      <c r="Q243" s="7">
        <f t="shared" si="109"/>
        <v>0</v>
      </c>
      <c r="R243" s="7">
        <f t="shared" si="109"/>
        <v>0</v>
      </c>
      <c r="S243" s="7">
        <f t="shared" si="109"/>
        <v>2.8325</v>
      </c>
      <c r="T243" s="7">
        <f t="shared" si="109"/>
        <v>5.875</v>
      </c>
      <c r="U243" s="6"/>
      <c r="V243" s="17">
        <f t="shared" si="88"/>
        <v>43.207500000000003</v>
      </c>
      <c r="W243" s="17">
        <f t="shared" si="89"/>
        <v>5.4009375000000004</v>
      </c>
      <c r="X243" s="8"/>
    </row>
    <row r="244" spans="1:24" ht="23.25" customHeight="1" x14ac:dyDescent="0.25">
      <c r="A244" s="28">
        <v>35</v>
      </c>
      <c r="B244" s="31" t="s">
        <v>29</v>
      </c>
      <c r="C244" s="34" t="s">
        <v>28</v>
      </c>
      <c r="D244" s="37" t="s">
        <v>30</v>
      </c>
      <c r="E244" s="40" t="s">
        <v>74</v>
      </c>
      <c r="F244" s="43" t="s">
        <v>32</v>
      </c>
      <c r="G244" s="46" t="s">
        <v>36</v>
      </c>
      <c r="H244" s="3" t="s">
        <v>22</v>
      </c>
      <c r="I244" s="19">
        <v>15</v>
      </c>
      <c r="J244" s="6">
        <v>11</v>
      </c>
      <c r="K244" s="6">
        <v>14</v>
      </c>
      <c r="L244" s="6">
        <v>16</v>
      </c>
      <c r="M244" s="6">
        <v>16</v>
      </c>
      <c r="N244" s="6"/>
      <c r="O244" s="6">
        <v>14</v>
      </c>
      <c r="P244" s="6"/>
      <c r="Q244" s="6"/>
      <c r="R244" s="6"/>
      <c r="S244" s="6">
        <v>11.33</v>
      </c>
      <c r="T244" s="6">
        <v>14.5</v>
      </c>
      <c r="U244" s="6"/>
      <c r="V244" s="17">
        <f t="shared" si="88"/>
        <v>111.83</v>
      </c>
      <c r="W244" s="17">
        <f t="shared" si="89"/>
        <v>13.97875</v>
      </c>
      <c r="X244" s="8"/>
    </row>
    <row r="245" spans="1:24" ht="23.25" customHeight="1" x14ac:dyDescent="0.25">
      <c r="A245" s="29"/>
      <c r="B245" s="32"/>
      <c r="C245" s="35"/>
      <c r="D245" s="38"/>
      <c r="E245" s="41"/>
      <c r="F245" s="44"/>
      <c r="G245" s="47"/>
      <c r="H245" s="4" t="s">
        <v>23</v>
      </c>
      <c r="I245" s="19">
        <v>15</v>
      </c>
      <c r="J245" s="6">
        <v>14</v>
      </c>
      <c r="K245" s="6">
        <v>19.5</v>
      </c>
      <c r="L245" s="6">
        <v>13.5</v>
      </c>
      <c r="M245" s="6">
        <v>15.5</v>
      </c>
      <c r="N245" s="6"/>
      <c r="O245" s="6">
        <v>12.5</v>
      </c>
      <c r="P245" s="6"/>
      <c r="Q245" s="6"/>
      <c r="R245" s="6"/>
      <c r="S245" s="6">
        <v>14.5</v>
      </c>
      <c r="T245" s="6">
        <v>16</v>
      </c>
      <c r="U245" s="6"/>
      <c r="V245" s="17">
        <f t="shared" si="88"/>
        <v>120.5</v>
      </c>
      <c r="W245" s="17">
        <f t="shared" si="89"/>
        <v>15.0625</v>
      </c>
      <c r="X245" s="8"/>
    </row>
    <row r="246" spans="1:24" ht="23.25" customHeight="1" x14ac:dyDescent="0.25">
      <c r="A246" s="29"/>
      <c r="B246" s="32"/>
      <c r="C246" s="35"/>
      <c r="D246" s="38"/>
      <c r="E246" s="41"/>
      <c r="F246" s="44"/>
      <c r="G246" s="48"/>
      <c r="H246" s="4" t="s">
        <v>24</v>
      </c>
      <c r="I246" s="20">
        <f t="shared" ref="I246:T246" si="110">(I244+I245)/2</f>
        <v>15</v>
      </c>
      <c r="J246" s="7">
        <f t="shared" si="110"/>
        <v>12.5</v>
      </c>
      <c r="K246" s="7">
        <f t="shared" si="110"/>
        <v>16.75</v>
      </c>
      <c r="L246" s="7">
        <f t="shared" si="110"/>
        <v>14.75</v>
      </c>
      <c r="M246" s="7">
        <f t="shared" si="110"/>
        <v>15.75</v>
      </c>
      <c r="N246" s="7">
        <f t="shared" si="110"/>
        <v>0</v>
      </c>
      <c r="O246" s="7">
        <f t="shared" si="110"/>
        <v>13.25</v>
      </c>
      <c r="P246" s="7">
        <f t="shared" si="110"/>
        <v>0</v>
      </c>
      <c r="Q246" s="7">
        <f t="shared" si="110"/>
        <v>0</v>
      </c>
      <c r="R246" s="7">
        <f t="shared" si="110"/>
        <v>0</v>
      </c>
      <c r="S246" s="7">
        <f t="shared" si="110"/>
        <v>12.914999999999999</v>
      </c>
      <c r="T246" s="7">
        <f t="shared" si="110"/>
        <v>15.25</v>
      </c>
      <c r="U246" s="6"/>
      <c r="V246" s="17">
        <f t="shared" si="88"/>
        <v>116.16499999999999</v>
      </c>
      <c r="W246" s="17">
        <f t="shared" si="89"/>
        <v>14.520624999999999</v>
      </c>
      <c r="X246" s="8"/>
    </row>
    <row r="247" spans="1:24" ht="23.25" customHeight="1" x14ac:dyDescent="0.25">
      <c r="A247" s="29"/>
      <c r="B247" s="32"/>
      <c r="C247" s="35"/>
      <c r="D247" s="38"/>
      <c r="E247" s="41"/>
      <c r="F247" s="44"/>
      <c r="G247" s="49" t="s">
        <v>37</v>
      </c>
      <c r="H247" s="4" t="s">
        <v>22</v>
      </c>
      <c r="I247" s="19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7">
        <f t="shared" si="88"/>
        <v>0</v>
      </c>
      <c r="W247" s="17">
        <f t="shared" si="89"/>
        <v>0</v>
      </c>
      <c r="X247" s="8"/>
    </row>
    <row r="248" spans="1:24" ht="23.25" customHeight="1" x14ac:dyDescent="0.25">
      <c r="A248" s="29"/>
      <c r="B248" s="32"/>
      <c r="C248" s="35"/>
      <c r="D248" s="38"/>
      <c r="E248" s="41"/>
      <c r="F248" s="44"/>
      <c r="G248" s="47"/>
      <c r="H248" s="4" t="s">
        <v>23</v>
      </c>
      <c r="I248" s="19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7">
        <f t="shared" si="88"/>
        <v>0</v>
      </c>
      <c r="W248" s="17">
        <f t="shared" si="89"/>
        <v>0</v>
      </c>
      <c r="X248" s="8"/>
    </row>
    <row r="249" spans="1:24" ht="23.25" customHeight="1" x14ac:dyDescent="0.25">
      <c r="A249" s="29"/>
      <c r="B249" s="32"/>
      <c r="C249" s="35"/>
      <c r="D249" s="38"/>
      <c r="E249" s="41"/>
      <c r="F249" s="44"/>
      <c r="G249" s="48"/>
      <c r="H249" s="4" t="s">
        <v>25</v>
      </c>
      <c r="I249" s="20">
        <f t="shared" ref="I249:T249" si="111">(I247+I248)/2</f>
        <v>0</v>
      </c>
      <c r="J249" s="7">
        <f t="shared" si="111"/>
        <v>0</v>
      </c>
      <c r="K249" s="7">
        <f t="shared" si="111"/>
        <v>0</v>
      </c>
      <c r="L249" s="7">
        <f t="shared" si="111"/>
        <v>0</v>
      </c>
      <c r="M249" s="7">
        <f t="shared" si="111"/>
        <v>0</v>
      </c>
      <c r="N249" s="7">
        <f t="shared" si="111"/>
        <v>0</v>
      </c>
      <c r="O249" s="7">
        <f t="shared" si="111"/>
        <v>0</v>
      </c>
      <c r="P249" s="7">
        <f t="shared" si="111"/>
        <v>0</v>
      </c>
      <c r="Q249" s="7">
        <f t="shared" si="111"/>
        <v>0</v>
      </c>
      <c r="R249" s="7">
        <f t="shared" si="111"/>
        <v>0</v>
      </c>
      <c r="S249" s="7">
        <f t="shared" si="111"/>
        <v>0</v>
      </c>
      <c r="T249" s="7">
        <f t="shared" si="111"/>
        <v>0</v>
      </c>
      <c r="U249" s="6"/>
      <c r="V249" s="17">
        <f t="shared" si="88"/>
        <v>0</v>
      </c>
      <c r="W249" s="17">
        <f t="shared" si="89"/>
        <v>0</v>
      </c>
      <c r="X249" s="8"/>
    </row>
    <row r="250" spans="1:24" ht="23.25" customHeight="1" thickBot="1" x14ac:dyDescent="0.3">
      <c r="A250" s="30"/>
      <c r="B250" s="33"/>
      <c r="C250" s="36"/>
      <c r="D250" s="39"/>
      <c r="E250" s="52"/>
      <c r="F250" s="45"/>
      <c r="G250" s="50" t="s">
        <v>26</v>
      </c>
      <c r="H250" s="51"/>
      <c r="I250" s="20">
        <f t="shared" ref="I250:T250" si="112">(I246+I249)/2</f>
        <v>7.5</v>
      </c>
      <c r="J250" s="7">
        <f t="shared" si="112"/>
        <v>6.25</v>
      </c>
      <c r="K250" s="7">
        <f t="shared" si="112"/>
        <v>8.375</v>
      </c>
      <c r="L250" s="7">
        <f t="shared" si="112"/>
        <v>7.375</v>
      </c>
      <c r="M250" s="7">
        <f t="shared" si="112"/>
        <v>7.875</v>
      </c>
      <c r="N250" s="7">
        <f t="shared" si="112"/>
        <v>0</v>
      </c>
      <c r="O250" s="7">
        <f t="shared" si="112"/>
        <v>6.625</v>
      </c>
      <c r="P250" s="7">
        <f t="shared" si="112"/>
        <v>0</v>
      </c>
      <c r="Q250" s="7">
        <f t="shared" si="112"/>
        <v>0</v>
      </c>
      <c r="R250" s="7">
        <f t="shared" si="112"/>
        <v>0</v>
      </c>
      <c r="S250" s="7">
        <f t="shared" si="112"/>
        <v>6.4574999999999996</v>
      </c>
      <c r="T250" s="7">
        <f t="shared" si="112"/>
        <v>7.625</v>
      </c>
      <c r="U250" s="6"/>
      <c r="V250" s="17">
        <f t="shared" si="88"/>
        <v>58.082499999999996</v>
      </c>
      <c r="W250" s="17">
        <f t="shared" si="89"/>
        <v>7.2603124999999995</v>
      </c>
      <c r="X250" s="8"/>
    </row>
    <row r="251" spans="1:24" ht="23.25" customHeight="1" x14ac:dyDescent="0.25">
      <c r="A251" s="28">
        <v>36</v>
      </c>
      <c r="B251" s="31" t="s">
        <v>29</v>
      </c>
      <c r="C251" s="34" t="s">
        <v>28</v>
      </c>
      <c r="D251" s="37" t="s">
        <v>30</v>
      </c>
      <c r="E251" s="40" t="s">
        <v>75</v>
      </c>
      <c r="F251" s="43" t="s">
        <v>32</v>
      </c>
      <c r="G251" s="46" t="s">
        <v>36</v>
      </c>
      <c r="H251" s="3" t="s">
        <v>22</v>
      </c>
      <c r="I251" s="19">
        <v>10.67</v>
      </c>
      <c r="J251" s="6">
        <v>11</v>
      </c>
      <c r="K251" s="6">
        <v>12.5</v>
      </c>
      <c r="L251" s="6">
        <v>15.16</v>
      </c>
      <c r="M251" s="6">
        <v>9</v>
      </c>
      <c r="N251" s="6"/>
      <c r="O251" s="6">
        <v>8.33</v>
      </c>
      <c r="P251" s="6"/>
      <c r="Q251" s="6"/>
      <c r="R251" s="6"/>
      <c r="S251" s="6">
        <v>12.66</v>
      </c>
      <c r="T251" s="27">
        <v>15.5</v>
      </c>
      <c r="U251" s="6"/>
      <c r="V251" s="17" t="e">
        <f>(I251+J251+K251+L251+#REF!+N251+M251+P251+Q251+O251+S251)</f>
        <v>#REF!</v>
      </c>
      <c r="W251" s="17" t="e">
        <f t="shared" si="89"/>
        <v>#REF!</v>
      </c>
      <c r="X251" s="8"/>
    </row>
    <row r="252" spans="1:24" ht="23.25" customHeight="1" x14ac:dyDescent="0.25">
      <c r="A252" s="29"/>
      <c r="B252" s="32"/>
      <c r="C252" s="35"/>
      <c r="D252" s="38"/>
      <c r="E252" s="41"/>
      <c r="F252" s="44"/>
      <c r="G252" s="47"/>
      <c r="H252" s="4" t="s">
        <v>23</v>
      </c>
      <c r="I252" s="19">
        <v>8</v>
      </c>
      <c r="J252" s="6">
        <v>10</v>
      </c>
      <c r="K252" s="6">
        <v>6</v>
      </c>
      <c r="L252" s="6">
        <v>5.5</v>
      </c>
      <c r="M252" s="6">
        <v>13</v>
      </c>
      <c r="N252" s="6"/>
      <c r="O252" s="6">
        <v>2</v>
      </c>
      <c r="P252" s="6"/>
      <c r="Q252" s="6"/>
      <c r="R252" s="6"/>
      <c r="S252" s="6">
        <v>2</v>
      </c>
      <c r="T252" s="27">
        <v>9</v>
      </c>
      <c r="U252" s="6"/>
      <c r="V252" s="17" t="e">
        <f>(I252+J252+K252+L252+#REF!+N252+M252+P252+Q252+O252+S252)</f>
        <v>#REF!</v>
      </c>
      <c r="W252" s="17" t="e">
        <f t="shared" si="89"/>
        <v>#REF!</v>
      </c>
      <c r="X252" s="8"/>
    </row>
    <row r="253" spans="1:24" ht="23.25" customHeight="1" x14ac:dyDescent="0.25">
      <c r="A253" s="29"/>
      <c r="B253" s="32"/>
      <c r="C253" s="35"/>
      <c r="D253" s="38"/>
      <c r="E253" s="41"/>
      <c r="F253" s="44"/>
      <c r="G253" s="48"/>
      <c r="H253" s="4" t="s">
        <v>24</v>
      </c>
      <c r="I253" s="20">
        <f t="shared" ref="I253:R253" si="113">(I251+I252)/2</f>
        <v>9.3350000000000009</v>
      </c>
      <c r="J253" s="7">
        <f t="shared" si="113"/>
        <v>10.5</v>
      </c>
      <c r="K253" s="7">
        <f t="shared" si="113"/>
        <v>9.25</v>
      </c>
      <c r="L253" s="7">
        <f t="shared" si="113"/>
        <v>10.33</v>
      </c>
      <c r="M253" s="7" t="e">
        <f>(#REF!+#REF!)/2</f>
        <v>#REF!</v>
      </c>
      <c r="N253" s="7">
        <f t="shared" si="113"/>
        <v>0</v>
      </c>
      <c r="O253" s="7">
        <f>(M251+M252)/2</f>
        <v>11</v>
      </c>
      <c r="P253" s="7">
        <f t="shared" si="113"/>
        <v>0</v>
      </c>
      <c r="Q253" s="7">
        <f t="shared" si="113"/>
        <v>0</v>
      </c>
      <c r="R253" s="7">
        <f t="shared" si="113"/>
        <v>0</v>
      </c>
      <c r="S253" s="7">
        <f>(O251+O252)/2</f>
        <v>5.165</v>
      </c>
      <c r="T253" s="7">
        <f>(S251+S252)/2</f>
        <v>7.33</v>
      </c>
      <c r="U253" s="6"/>
      <c r="V253" s="17" t="e">
        <f t="shared" si="88"/>
        <v>#REF!</v>
      </c>
      <c r="W253" s="17" t="e">
        <f t="shared" si="89"/>
        <v>#REF!</v>
      </c>
      <c r="X253" s="8"/>
    </row>
    <row r="254" spans="1:24" ht="23.25" customHeight="1" x14ac:dyDescent="0.25">
      <c r="A254" s="29"/>
      <c r="B254" s="32"/>
      <c r="C254" s="35"/>
      <c r="D254" s="38"/>
      <c r="E254" s="41"/>
      <c r="F254" s="44"/>
      <c r="G254" s="49" t="s">
        <v>37</v>
      </c>
      <c r="H254" s="4" t="s">
        <v>22</v>
      </c>
      <c r="I254" s="19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7">
        <f t="shared" si="88"/>
        <v>0</v>
      </c>
      <c r="W254" s="17">
        <f t="shared" si="89"/>
        <v>0</v>
      </c>
      <c r="X254" s="8"/>
    </row>
    <row r="255" spans="1:24" ht="23.25" customHeight="1" x14ac:dyDescent="0.25">
      <c r="A255" s="29"/>
      <c r="B255" s="32"/>
      <c r="C255" s="35"/>
      <c r="D255" s="38"/>
      <c r="E255" s="41"/>
      <c r="F255" s="44"/>
      <c r="G255" s="47"/>
      <c r="H255" s="4" t="s">
        <v>23</v>
      </c>
      <c r="I255" s="19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7">
        <f t="shared" si="88"/>
        <v>0</v>
      </c>
      <c r="W255" s="17">
        <f t="shared" si="89"/>
        <v>0</v>
      </c>
      <c r="X255" s="8"/>
    </row>
    <row r="256" spans="1:24" ht="23.25" customHeight="1" x14ac:dyDescent="0.25">
      <c r="A256" s="29"/>
      <c r="B256" s="32"/>
      <c r="C256" s="35"/>
      <c r="D256" s="38"/>
      <c r="E256" s="41"/>
      <c r="F256" s="44"/>
      <c r="G256" s="48"/>
      <c r="H256" s="4" t="s">
        <v>25</v>
      </c>
      <c r="I256" s="20">
        <f t="shared" ref="I256:T256" si="114">(I254+I255)/2</f>
        <v>0</v>
      </c>
      <c r="J256" s="7">
        <f t="shared" si="114"/>
        <v>0</v>
      </c>
      <c r="K256" s="7">
        <f t="shared" si="114"/>
        <v>0</v>
      </c>
      <c r="L256" s="7">
        <f t="shared" si="114"/>
        <v>0</v>
      </c>
      <c r="M256" s="7">
        <f t="shared" si="114"/>
        <v>0</v>
      </c>
      <c r="N256" s="7">
        <f t="shared" si="114"/>
        <v>0</v>
      </c>
      <c r="O256" s="7">
        <f t="shared" si="114"/>
        <v>0</v>
      </c>
      <c r="P256" s="7">
        <f t="shared" si="114"/>
        <v>0</v>
      </c>
      <c r="Q256" s="7">
        <f t="shared" si="114"/>
        <v>0</v>
      </c>
      <c r="R256" s="7">
        <f t="shared" si="114"/>
        <v>0</v>
      </c>
      <c r="S256" s="7">
        <f t="shared" si="114"/>
        <v>0</v>
      </c>
      <c r="T256" s="7">
        <f t="shared" si="114"/>
        <v>0</v>
      </c>
      <c r="U256" s="6"/>
      <c r="V256" s="17">
        <f t="shared" si="88"/>
        <v>0</v>
      </c>
      <c r="W256" s="17">
        <f t="shared" si="89"/>
        <v>0</v>
      </c>
      <c r="X256" s="8"/>
    </row>
    <row r="257" spans="1:24" ht="23.25" customHeight="1" thickBot="1" x14ac:dyDescent="0.3">
      <c r="A257" s="30"/>
      <c r="B257" s="33"/>
      <c r="C257" s="36"/>
      <c r="D257" s="39"/>
      <c r="E257" s="52"/>
      <c r="F257" s="45"/>
      <c r="G257" s="50" t="s">
        <v>26</v>
      </c>
      <c r="H257" s="51"/>
      <c r="I257" s="20">
        <f t="shared" ref="I257:T257" si="115">(I253+I256)/2</f>
        <v>4.6675000000000004</v>
      </c>
      <c r="J257" s="7">
        <f t="shared" si="115"/>
        <v>5.25</v>
      </c>
      <c r="K257" s="7">
        <f t="shared" si="115"/>
        <v>4.625</v>
      </c>
      <c r="L257" s="7">
        <f t="shared" si="115"/>
        <v>5.165</v>
      </c>
      <c r="M257" s="7" t="e">
        <f t="shared" si="115"/>
        <v>#REF!</v>
      </c>
      <c r="N257" s="7">
        <f t="shared" si="115"/>
        <v>0</v>
      </c>
      <c r="O257" s="7">
        <f t="shared" si="115"/>
        <v>5.5</v>
      </c>
      <c r="P257" s="7">
        <f t="shared" si="115"/>
        <v>0</v>
      </c>
      <c r="Q257" s="7">
        <f t="shared" si="115"/>
        <v>0</v>
      </c>
      <c r="R257" s="7">
        <f t="shared" si="115"/>
        <v>0</v>
      </c>
      <c r="S257" s="7">
        <f t="shared" si="115"/>
        <v>2.5825</v>
      </c>
      <c r="T257" s="7">
        <f t="shared" si="115"/>
        <v>3.665</v>
      </c>
      <c r="U257" s="6"/>
      <c r="V257" s="17" t="e">
        <f t="shared" si="88"/>
        <v>#REF!</v>
      </c>
      <c r="W257" s="17" t="e">
        <f t="shared" si="89"/>
        <v>#REF!</v>
      </c>
      <c r="X257" s="8"/>
    </row>
    <row r="258" spans="1:24" ht="23.25" customHeight="1" x14ac:dyDescent="0.25">
      <c r="A258" s="28">
        <v>37</v>
      </c>
      <c r="B258" s="31" t="s">
        <v>29</v>
      </c>
      <c r="C258" s="34" t="s">
        <v>28</v>
      </c>
      <c r="D258" s="37" t="s">
        <v>30</v>
      </c>
      <c r="E258" s="40" t="s">
        <v>76</v>
      </c>
      <c r="F258" s="43" t="s">
        <v>33</v>
      </c>
      <c r="G258" s="46" t="s">
        <v>36</v>
      </c>
      <c r="H258" s="3" t="s">
        <v>22</v>
      </c>
      <c r="I258" s="19">
        <v>12</v>
      </c>
      <c r="J258" s="6">
        <v>11</v>
      </c>
      <c r="K258" s="6">
        <v>14</v>
      </c>
      <c r="L258" s="6">
        <v>15.33</v>
      </c>
      <c r="M258" s="6">
        <v>10.66</v>
      </c>
      <c r="N258" s="6"/>
      <c r="O258" s="6">
        <v>12</v>
      </c>
      <c r="P258" s="6"/>
      <c r="Q258" s="6"/>
      <c r="R258" s="6"/>
      <c r="S258" s="6">
        <v>11.33</v>
      </c>
      <c r="T258" s="6">
        <v>13</v>
      </c>
      <c r="U258" s="6"/>
      <c r="V258" s="17">
        <f t="shared" si="88"/>
        <v>99.32</v>
      </c>
      <c r="W258" s="17">
        <f t="shared" si="89"/>
        <v>12.414999999999999</v>
      </c>
      <c r="X258" s="8"/>
    </row>
    <row r="259" spans="1:24" ht="23.25" customHeight="1" x14ac:dyDescent="0.25">
      <c r="A259" s="29"/>
      <c r="B259" s="32"/>
      <c r="C259" s="35"/>
      <c r="D259" s="38"/>
      <c r="E259" s="41"/>
      <c r="F259" s="44"/>
      <c r="G259" s="47"/>
      <c r="H259" s="4" t="s">
        <v>23</v>
      </c>
      <c r="I259" s="19">
        <v>8</v>
      </c>
      <c r="J259" s="6">
        <v>11</v>
      </c>
      <c r="K259" s="6">
        <v>7</v>
      </c>
      <c r="L259" s="6">
        <v>10.5</v>
      </c>
      <c r="M259" s="6">
        <v>15</v>
      </c>
      <c r="N259" s="6"/>
      <c r="O259" s="6">
        <v>10</v>
      </c>
      <c r="P259" s="6"/>
      <c r="Q259" s="6"/>
      <c r="R259" s="6"/>
      <c r="S259" s="6">
        <v>7</v>
      </c>
      <c r="T259" s="6">
        <v>15</v>
      </c>
      <c r="U259" s="6"/>
      <c r="V259" s="17">
        <f t="shared" si="88"/>
        <v>83.5</v>
      </c>
      <c r="W259" s="17">
        <f t="shared" si="89"/>
        <v>10.4375</v>
      </c>
      <c r="X259" s="8"/>
    </row>
    <row r="260" spans="1:24" ht="23.25" customHeight="1" x14ac:dyDescent="0.25">
      <c r="A260" s="29"/>
      <c r="B260" s="32"/>
      <c r="C260" s="35"/>
      <c r="D260" s="38"/>
      <c r="E260" s="41"/>
      <c r="F260" s="44"/>
      <c r="G260" s="48"/>
      <c r="H260" s="4" t="s">
        <v>24</v>
      </c>
      <c r="I260" s="20">
        <f t="shared" ref="I260:T260" si="116">(I258+I259)/2</f>
        <v>10</v>
      </c>
      <c r="J260" s="7">
        <f t="shared" si="116"/>
        <v>11</v>
      </c>
      <c r="K260" s="7">
        <f t="shared" si="116"/>
        <v>10.5</v>
      </c>
      <c r="L260" s="7">
        <f t="shared" si="116"/>
        <v>12.914999999999999</v>
      </c>
      <c r="M260" s="7">
        <f t="shared" si="116"/>
        <v>12.83</v>
      </c>
      <c r="N260" s="7">
        <f t="shared" si="116"/>
        <v>0</v>
      </c>
      <c r="O260" s="7">
        <f t="shared" si="116"/>
        <v>11</v>
      </c>
      <c r="P260" s="7">
        <f t="shared" si="116"/>
        <v>0</v>
      </c>
      <c r="Q260" s="7">
        <f t="shared" si="116"/>
        <v>0</v>
      </c>
      <c r="R260" s="7">
        <f t="shared" si="116"/>
        <v>0</v>
      </c>
      <c r="S260" s="7">
        <f t="shared" si="116"/>
        <v>9.1649999999999991</v>
      </c>
      <c r="T260" s="7">
        <f t="shared" si="116"/>
        <v>14</v>
      </c>
      <c r="U260" s="6"/>
      <c r="V260" s="17">
        <f t="shared" si="88"/>
        <v>91.41</v>
      </c>
      <c r="W260" s="17">
        <f t="shared" si="89"/>
        <v>11.42625</v>
      </c>
      <c r="X260" s="8"/>
    </row>
    <row r="261" spans="1:24" ht="23.25" customHeight="1" x14ac:dyDescent="0.25">
      <c r="A261" s="29"/>
      <c r="B261" s="32"/>
      <c r="C261" s="35"/>
      <c r="D261" s="38"/>
      <c r="E261" s="41"/>
      <c r="F261" s="44"/>
      <c r="G261" s="49" t="s">
        <v>37</v>
      </c>
      <c r="H261" s="4" t="s">
        <v>22</v>
      </c>
      <c r="I261" s="1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7">
        <f t="shared" si="88"/>
        <v>0</v>
      </c>
      <c r="W261" s="17">
        <f t="shared" si="89"/>
        <v>0</v>
      </c>
      <c r="X261" s="8"/>
    </row>
    <row r="262" spans="1:24" ht="23.25" customHeight="1" x14ac:dyDescent="0.25">
      <c r="A262" s="29"/>
      <c r="B262" s="32"/>
      <c r="C262" s="35"/>
      <c r="D262" s="38"/>
      <c r="E262" s="41"/>
      <c r="F262" s="44"/>
      <c r="G262" s="47"/>
      <c r="H262" s="4" t="s">
        <v>23</v>
      </c>
      <c r="I262" s="19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7">
        <f t="shared" si="88"/>
        <v>0</v>
      </c>
      <c r="W262" s="17">
        <f t="shared" si="89"/>
        <v>0</v>
      </c>
      <c r="X262" s="8"/>
    </row>
    <row r="263" spans="1:24" ht="23.25" customHeight="1" x14ac:dyDescent="0.25">
      <c r="A263" s="29"/>
      <c r="B263" s="32"/>
      <c r="C263" s="35"/>
      <c r="D263" s="38"/>
      <c r="E263" s="41"/>
      <c r="F263" s="44"/>
      <c r="G263" s="48"/>
      <c r="H263" s="4" t="s">
        <v>25</v>
      </c>
      <c r="I263" s="20">
        <f t="shared" ref="I263:T263" si="117">(I261+I262)/2</f>
        <v>0</v>
      </c>
      <c r="J263" s="7">
        <f t="shared" si="117"/>
        <v>0</v>
      </c>
      <c r="K263" s="7">
        <f t="shared" si="117"/>
        <v>0</v>
      </c>
      <c r="L263" s="7">
        <f t="shared" si="117"/>
        <v>0</v>
      </c>
      <c r="M263" s="7">
        <f t="shared" si="117"/>
        <v>0</v>
      </c>
      <c r="N263" s="7">
        <f t="shared" si="117"/>
        <v>0</v>
      </c>
      <c r="O263" s="7">
        <f t="shared" si="117"/>
        <v>0</v>
      </c>
      <c r="P263" s="7">
        <f t="shared" si="117"/>
        <v>0</v>
      </c>
      <c r="Q263" s="7">
        <f t="shared" si="117"/>
        <v>0</v>
      </c>
      <c r="R263" s="7">
        <f t="shared" si="117"/>
        <v>0</v>
      </c>
      <c r="S263" s="7">
        <f t="shared" si="117"/>
        <v>0</v>
      </c>
      <c r="T263" s="7">
        <f t="shared" si="117"/>
        <v>0</v>
      </c>
      <c r="U263" s="6"/>
      <c r="V263" s="17">
        <f t="shared" ref="V263:V269" si="118">(I263+J263+K263+L263+M263+N263+O263+P263+Q263+S263+T263)</f>
        <v>0</v>
      </c>
      <c r="W263" s="17">
        <f t="shared" ref="W263:W269" si="119">(V263)/8</f>
        <v>0</v>
      </c>
      <c r="X263" s="8"/>
    </row>
    <row r="264" spans="1:24" ht="23.25" customHeight="1" thickBot="1" x14ac:dyDescent="0.3">
      <c r="A264" s="30"/>
      <c r="B264" s="33"/>
      <c r="C264" s="36"/>
      <c r="D264" s="39"/>
      <c r="E264" s="52"/>
      <c r="F264" s="45"/>
      <c r="G264" s="50" t="s">
        <v>26</v>
      </c>
      <c r="H264" s="51"/>
      <c r="I264" s="20">
        <f t="shared" ref="I264:T264" si="120">(I260+I263)/2</f>
        <v>5</v>
      </c>
      <c r="J264" s="7">
        <f t="shared" si="120"/>
        <v>5.5</v>
      </c>
      <c r="K264" s="7">
        <f t="shared" si="120"/>
        <v>5.25</v>
      </c>
      <c r="L264" s="7">
        <f t="shared" si="120"/>
        <v>6.4574999999999996</v>
      </c>
      <c r="M264" s="7">
        <f t="shared" si="120"/>
        <v>6.415</v>
      </c>
      <c r="N264" s="7">
        <f t="shared" si="120"/>
        <v>0</v>
      </c>
      <c r="O264" s="7">
        <f t="shared" si="120"/>
        <v>5.5</v>
      </c>
      <c r="P264" s="7">
        <f t="shared" si="120"/>
        <v>0</v>
      </c>
      <c r="Q264" s="7">
        <f t="shared" si="120"/>
        <v>0</v>
      </c>
      <c r="R264" s="7">
        <f t="shared" si="120"/>
        <v>0</v>
      </c>
      <c r="S264" s="7">
        <f t="shared" si="120"/>
        <v>4.5824999999999996</v>
      </c>
      <c r="T264" s="7">
        <f t="shared" si="120"/>
        <v>7</v>
      </c>
      <c r="U264" s="6"/>
      <c r="V264" s="17">
        <f t="shared" si="118"/>
        <v>45.704999999999998</v>
      </c>
      <c r="W264" s="17">
        <f t="shared" si="119"/>
        <v>5.7131249999999998</v>
      </c>
      <c r="X264" s="8"/>
    </row>
    <row r="265" spans="1:24" ht="15" customHeight="1" x14ac:dyDescent="0.25">
      <c r="A265" s="28">
        <v>38</v>
      </c>
      <c r="B265" s="31" t="s">
        <v>29</v>
      </c>
      <c r="C265" s="34" t="s">
        <v>28</v>
      </c>
      <c r="D265" s="37" t="s">
        <v>30</v>
      </c>
      <c r="E265" s="40" t="s">
        <v>77</v>
      </c>
      <c r="F265" s="43" t="s">
        <v>33</v>
      </c>
      <c r="G265" s="46" t="s">
        <v>36</v>
      </c>
      <c r="H265" s="3" t="s">
        <v>22</v>
      </c>
      <c r="I265" s="19">
        <v>10</v>
      </c>
      <c r="J265" s="6">
        <v>11</v>
      </c>
      <c r="K265" s="6">
        <v>10</v>
      </c>
      <c r="L265" s="6">
        <v>15.83</v>
      </c>
      <c r="M265" s="6">
        <v>9.83</v>
      </c>
      <c r="N265" s="6"/>
      <c r="O265" s="6">
        <v>8</v>
      </c>
      <c r="P265" s="6"/>
      <c r="Q265" s="6"/>
      <c r="R265" s="6"/>
      <c r="S265" s="6">
        <v>11.33</v>
      </c>
      <c r="T265" s="6">
        <v>13</v>
      </c>
      <c r="U265" s="6"/>
      <c r="V265" s="17">
        <f t="shared" si="118"/>
        <v>88.99</v>
      </c>
      <c r="W265" s="17">
        <f t="shared" si="119"/>
        <v>11.123749999999999</v>
      </c>
      <c r="X265" s="8"/>
    </row>
    <row r="266" spans="1:24" x14ac:dyDescent="0.25">
      <c r="A266" s="29"/>
      <c r="B266" s="32"/>
      <c r="C266" s="35"/>
      <c r="D266" s="38"/>
      <c r="E266" s="41"/>
      <c r="F266" s="44"/>
      <c r="G266" s="47"/>
      <c r="H266" s="4" t="s">
        <v>23</v>
      </c>
      <c r="I266" s="19">
        <v>5</v>
      </c>
      <c r="J266" s="6">
        <v>5</v>
      </c>
      <c r="K266" s="6">
        <v>6</v>
      </c>
      <c r="L266" s="6">
        <v>7.25</v>
      </c>
      <c r="M266" s="6">
        <v>16</v>
      </c>
      <c r="N266" s="6"/>
      <c r="O266" s="6">
        <v>5</v>
      </c>
      <c r="P266" s="6"/>
      <c r="Q266" s="6"/>
      <c r="R266" s="6"/>
      <c r="S266" s="6">
        <v>5</v>
      </c>
      <c r="T266" s="6">
        <v>10</v>
      </c>
      <c r="U266" s="6"/>
      <c r="V266" s="17">
        <f t="shared" si="118"/>
        <v>59.25</v>
      </c>
      <c r="W266" s="17">
        <f t="shared" si="119"/>
        <v>7.40625</v>
      </c>
      <c r="X266" s="8"/>
    </row>
    <row r="267" spans="1:24" x14ac:dyDescent="0.25">
      <c r="A267" s="29"/>
      <c r="B267" s="32"/>
      <c r="C267" s="35"/>
      <c r="D267" s="38"/>
      <c r="E267" s="41"/>
      <c r="F267" s="44"/>
      <c r="G267" s="48"/>
      <c r="H267" s="4" t="s">
        <v>24</v>
      </c>
      <c r="I267" s="20">
        <f t="shared" ref="I267:T267" si="121">(I265+I266)/2</f>
        <v>7.5</v>
      </c>
      <c r="J267" s="7">
        <f t="shared" si="121"/>
        <v>8</v>
      </c>
      <c r="K267" s="7">
        <f t="shared" si="121"/>
        <v>8</v>
      </c>
      <c r="L267" s="7">
        <f t="shared" si="121"/>
        <v>11.54</v>
      </c>
      <c r="M267" s="7">
        <f t="shared" si="121"/>
        <v>12.914999999999999</v>
      </c>
      <c r="N267" s="7">
        <f t="shared" si="121"/>
        <v>0</v>
      </c>
      <c r="O267" s="7">
        <f t="shared" si="121"/>
        <v>6.5</v>
      </c>
      <c r="P267" s="7">
        <f t="shared" si="121"/>
        <v>0</v>
      </c>
      <c r="Q267" s="7">
        <f t="shared" si="121"/>
        <v>0</v>
      </c>
      <c r="R267" s="7">
        <f t="shared" si="121"/>
        <v>0</v>
      </c>
      <c r="S267" s="7">
        <f t="shared" si="121"/>
        <v>8.1649999999999991</v>
      </c>
      <c r="T267" s="7">
        <f t="shared" si="121"/>
        <v>11.5</v>
      </c>
      <c r="U267" s="6"/>
      <c r="V267" s="17">
        <f t="shared" si="118"/>
        <v>74.12</v>
      </c>
      <c r="W267" s="17">
        <f t="shared" si="119"/>
        <v>9.2650000000000006</v>
      </c>
      <c r="X267" s="8"/>
    </row>
    <row r="268" spans="1:24" ht="15" customHeight="1" x14ac:dyDescent="0.25">
      <c r="A268" s="29"/>
      <c r="B268" s="32"/>
      <c r="C268" s="35"/>
      <c r="D268" s="38"/>
      <c r="E268" s="41"/>
      <c r="F268" s="44"/>
      <c r="G268" s="49" t="s">
        <v>37</v>
      </c>
      <c r="H268" s="4" t="s">
        <v>22</v>
      </c>
      <c r="I268" s="19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7">
        <f t="shared" si="118"/>
        <v>0</v>
      </c>
      <c r="W268" s="17">
        <f t="shared" si="119"/>
        <v>0</v>
      </c>
      <c r="X268" s="8"/>
    </row>
    <row r="269" spans="1:24" x14ac:dyDescent="0.25">
      <c r="A269" s="29"/>
      <c r="B269" s="32"/>
      <c r="C269" s="35"/>
      <c r="D269" s="38"/>
      <c r="E269" s="41"/>
      <c r="F269" s="44"/>
      <c r="G269" s="47"/>
      <c r="H269" s="4" t="s">
        <v>23</v>
      </c>
      <c r="I269" s="19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7">
        <f t="shared" si="118"/>
        <v>0</v>
      </c>
      <c r="W269" s="17">
        <f t="shared" si="119"/>
        <v>0</v>
      </c>
      <c r="X269" s="8"/>
    </row>
    <row r="270" spans="1:24" x14ac:dyDescent="0.25">
      <c r="A270" s="29"/>
      <c r="B270" s="32"/>
      <c r="C270" s="35"/>
      <c r="D270" s="38"/>
      <c r="E270" s="41"/>
      <c r="F270" s="44"/>
      <c r="G270" s="48"/>
      <c r="H270" s="4" t="s">
        <v>25</v>
      </c>
      <c r="I270" s="20">
        <f t="shared" ref="I270:T270" si="122">(I268+I269)/2</f>
        <v>0</v>
      </c>
      <c r="J270" s="7">
        <f t="shared" si="122"/>
        <v>0</v>
      </c>
      <c r="K270" s="7">
        <f t="shared" si="122"/>
        <v>0</v>
      </c>
      <c r="L270" s="7">
        <f t="shared" si="122"/>
        <v>0</v>
      </c>
      <c r="M270" s="7">
        <f t="shared" si="122"/>
        <v>0</v>
      </c>
      <c r="N270" s="7">
        <f t="shared" si="122"/>
        <v>0</v>
      </c>
      <c r="O270" s="7">
        <f t="shared" si="122"/>
        <v>0</v>
      </c>
      <c r="P270" s="7">
        <f t="shared" si="122"/>
        <v>0</v>
      </c>
      <c r="Q270" s="7">
        <f t="shared" si="122"/>
        <v>0</v>
      </c>
      <c r="R270" s="7">
        <f t="shared" si="122"/>
        <v>0</v>
      </c>
      <c r="S270" s="7">
        <f t="shared" si="122"/>
        <v>0</v>
      </c>
      <c r="T270" s="7">
        <f t="shared" si="122"/>
        <v>0</v>
      </c>
      <c r="U270" s="6"/>
      <c r="V270" s="17">
        <f t="shared" ref="V270:V313" si="123">(I270+J270+K270+L270+M270+N270+O270+P270+Q270+S270+T270)</f>
        <v>0</v>
      </c>
      <c r="W270" s="17">
        <f t="shared" ref="W270:W313" si="124">(V270)/8</f>
        <v>0</v>
      </c>
      <c r="X270" s="8"/>
    </row>
    <row r="271" spans="1:24" ht="15.75" thickBot="1" x14ac:dyDescent="0.3">
      <c r="A271" s="30"/>
      <c r="B271" s="33"/>
      <c r="C271" s="36"/>
      <c r="D271" s="39"/>
      <c r="E271" s="52"/>
      <c r="F271" s="45"/>
      <c r="G271" s="50" t="s">
        <v>26</v>
      </c>
      <c r="H271" s="51"/>
      <c r="I271" s="20">
        <f t="shared" ref="I271:T271" si="125">(I267+I270)/2</f>
        <v>3.75</v>
      </c>
      <c r="J271" s="7">
        <f t="shared" si="125"/>
        <v>4</v>
      </c>
      <c r="K271" s="7">
        <f t="shared" si="125"/>
        <v>4</v>
      </c>
      <c r="L271" s="7">
        <f t="shared" si="125"/>
        <v>5.77</v>
      </c>
      <c r="M271" s="7">
        <f t="shared" si="125"/>
        <v>6.4574999999999996</v>
      </c>
      <c r="N271" s="7">
        <f t="shared" si="125"/>
        <v>0</v>
      </c>
      <c r="O271" s="7">
        <f t="shared" si="125"/>
        <v>3.25</v>
      </c>
      <c r="P271" s="7">
        <f t="shared" si="125"/>
        <v>0</v>
      </c>
      <c r="Q271" s="7">
        <f t="shared" si="125"/>
        <v>0</v>
      </c>
      <c r="R271" s="7">
        <f t="shared" si="125"/>
        <v>0</v>
      </c>
      <c r="S271" s="7">
        <f t="shared" si="125"/>
        <v>4.0824999999999996</v>
      </c>
      <c r="T271" s="7">
        <f t="shared" si="125"/>
        <v>5.75</v>
      </c>
      <c r="U271" s="6"/>
      <c r="V271" s="17">
        <f t="shared" si="123"/>
        <v>37.06</v>
      </c>
      <c r="W271" s="17">
        <f t="shared" si="124"/>
        <v>4.6325000000000003</v>
      </c>
      <c r="X271" s="8"/>
    </row>
    <row r="272" spans="1:24" ht="15" customHeight="1" x14ac:dyDescent="0.25">
      <c r="A272" s="28">
        <v>39</v>
      </c>
      <c r="B272" s="31" t="s">
        <v>29</v>
      </c>
      <c r="C272" s="34" t="s">
        <v>28</v>
      </c>
      <c r="D272" s="37" t="s">
        <v>30</v>
      </c>
      <c r="E272" s="40" t="s">
        <v>78</v>
      </c>
      <c r="F272" s="43" t="s">
        <v>33</v>
      </c>
      <c r="G272" s="46" t="s">
        <v>36</v>
      </c>
      <c r="H272" s="3" t="s">
        <v>22</v>
      </c>
      <c r="I272" s="19">
        <v>12</v>
      </c>
      <c r="J272" s="6">
        <v>10</v>
      </c>
      <c r="K272" s="6">
        <v>13.5</v>
      </c>
      <c r="L272" s="6">
        <v>16</v>
      </c>
      <c r="M272" s="6">
        <v>9.6</v>
      </c>
      <c r="N272" s="6"/>
      <c r="O272" s="6">
        <v>11.83</v>
      </c>
      <c r="P272" s="6"/>
      <c r="Q272" s="6"/>
      <c r="R272" s="6"/>
      <c r="S272" s="6">
        <v>14</v>
      </c>
      <c r="T272" s="6">
        <v>12.5</v>
      </c>
      <c r="U272" s="6"/>
      <c r="V272" s="17">
        <f t="shared" si="123"/>
        <v>99.43</v>
      </c>
      <c r="W272" s="17">
        <f t="shared" si="124"/>
        <v>12.428750000000001</v>
      </c>
      <c r="X272" s="8"/>
    </row>
    <row r="273" spans="1:24" x14ac:dyDescent="0.25">
      <c r="A273" s="29"/>
      <c r="B273" s="32"/>
      <c r="C273" s="35"/>
      <c r="D273" s="38"/>
      <c r="E273" s="41"/>
      <c r="F273" s="44"/>
      <c r="G273" s="47"/>
      <c r="H273" s="4" t="s">
        <v>23</v>
      </c>
      <c r="I273" s="19">
        <v>5</v>
      </c>
      <c r="J273" s="6">
        <v>9</v>
      </c>
      <c r="K273" s="6">
        <v>7</v>
      </c>
      <c r="L273" s="6">
        <v>8</v>
      </c>
      <c r="M273" s="6">
        <v>8</v>
      </c>
      <c r="N273" s="6"/>
      <c r="O273" s="6">
        <v>7</v>
      </c>
      <c r="P273" s="6"/>
      <c r="Q273" s="6"/>
      <c r="R273" s="6"/>
      <c r="S273" s="6">
        <v>7</v>
      </c>
      <c r="T273" s="6">
        <v>10</v>
      </c>
      <c r="U273" s="6"/>
      <c r="V273" s="17">
        <f t="shared" si="123"/>
        <v>61</v>
      </c>
      <c r="W273" s="17">
        <f t="shared" si="124"/>
        <v>7.625</v>
      </c>
      <c r="X273" s="8"/>
    </row>
    <row r="274" spans="1:24" x14ac:dyDescent="0.25">
      <c r="A274" s="29"/>
      <c r="B274" s="32"/>
      <c r="C274" s="35"/>
      <c r="D274" s="38"/>
      <c r="E274" s="41"/>
      <c r="F274" s="44"/>
      <c r="G274" s="48"/>
      <c r="H274" s="4" t="s">
        <v>24</v>
      </c>
      <c r="I274" s="20">
        <f t="shared" ref="I274:T274" si="126">(I272+I273)/2</f>
        <v>8.5</v>
      </c>
      <c r="J274" s="7">
        <f t="shared" si="126"/>
        <v>9.5</v>
      </c>
      <c r="K274" s="7">
        <f t="shared" si="126"/>
        <v>10.25</v>
      </c>
      <c r="L274" s="7">
        <f t="shared" si="126"/>
        <v>12</v>
      </c>
      <c r="M274" s="7">
        <f t="shared" si="126"/>
        <v>8.8000000000000007</v>
      </c>
      <c r="N274" s="7">
        <f t="shared" si="126"/>
        <v>0</v>
      </c>
      <c r="O274" s="7">
        <f t="shared" si="126"/>
        <v>9.4149999999999991</v>
      </c>
      <c r="P274" s="7">
        <f t="shared" si="126"/>
        <v>0</v>
      </c>
      <c r="Q274" s="7">
        <f t="shared" si="126"/>
        <v>0</v>
      </c>
      <c r="R274" s="7">
        <f t="shared" si="126"/>
        <v>0</v>
      </c>
      <c r="S274" s="7">
        <f t="shared" si="126"/>
        <v>10.5</v>
      </c>
      <c r="T274" s="7">
        <f t="shared" si="126"/>
        <v>11.25</v>
      </c>
      <c r="U274" s="6"/>
      <c r="V274" s="17">
        <f t="shared" si="123"/>
        <v>80.215000000000003</v>
      </c>
      <c r="W274" s="17">
        <f t="shared" si="124"/>
        <v>10.026875</v>
      </c>
      <c r="X274" s="8"/>
    </row>
    <row r="275" spans="1:24" ht="15" customHeight="1" x14ac:dyDescent="0.25">
      <c r="A275" s="29"/>
      <c r="B275" s="32"/>
      <c r="C275" s="35"/>
      <c r="D275" s="38"/>
      <c r="E275" s="41"/>
      <c r="F275" s="44"/>
      <c r="G275" s="49" t="s">
        <v>37</v>
      </c>
      <c r="H275" s="4" t="s">
        <v>22</v>
      </c>
      <c r="I275" s="19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7">
        <f t="shared" si="123"/>
        <v>0</v>
      </c>
      <c r="W275" s="17">
        <f t="shared" si="124"/>
        <v>0</v>
      </c>
      <c r="X275" s="8"/>
    </row>
    <row r="276" spans="1:24" x14ac:dyDescent="0.25">
      <c r="A276" s="29"/>
      <c r="B276" s="32"/>
      <c r="C276" s="35"/>
      <c r="D276" s="38"/>
      <c r="E276" s="41"/>
      <c r="F276" s="44"/>
      <c r="G276" s="47"/>
      <c r="H276" s="4" t="s">
        <v>23</v>
      </c>
      <c r="I276" s="19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7">
        <f t="shared" si="123"/>
        <v>0</v>
      </c>
      <c r="W276" s="17">
        <f t="shared" si="124"/>
        <v>0</v>
      </c>
      <c r="X276" s="8"/>
    </row>
    <row r="277" spans="1:24" x14ac:dyDescent="0.25">
      <c r="A277" s="29"/>
      <c r="B277" s="32"/>
      <c r="C277" s="35"/>
      <c r="D277" s="38"/>
      <c r="E277" s="41"/>
      <c r="F277" s="44"/>
      <c r="G277" s="48"/>
      <c r="H277" s="4" t="s">
        <v>25</v>
      </c>
      <c r="I277" s="20">
        <f t="shared" ref="I277:T277" si="127">(I275+I276)/2</f>
        <v>0</v>
      </c>
      <c r="J277" s="7">
        <f t="shared" si="127"/>
        <v>0</v>
      </c>
      <c r="K277" s="7">
        <f t="shared" si="127"/>
        <v>0</v>
      </c>
      <c r="L277" s="7">
        <f t="shared" si="127"/>
        <v>0</v>
      </c>
      <c r="M277" s="7">
        <f t="shared" si="127"/>
        <v>0</v>
      </c>
      <c r="N277" s="7">
        <f t="shared" si="127"/>
        <v>0</v>
      </c>
      <c r="O277" s="7">
        <f t="shared" si="127"/>
        <v>0</v>
      </c>
      <c r="P277" s="7">
        <f t="shared" si="127"/>
        <v>0</v>
      </c>
      <c r="Q277" s="7">
        <f t="shared" si="127"/>
        <v>0</v>
      </c>
      <c r="R277" s="7">
        <f t="shared" si="127"/>
        <v>0</v>
      </c>
      <c r="S277" s="7">
        <f t="shared" si="127"/>
        <v>0</v>
      </c>
      <c r="T277" s="7">
        <f t="shared" si="127"/>
        <v>0</v>
      </c>
      <c r="U277" s="6"/>
      <c r="V277" s="17">
        <f t="shared" si="123"/>
        <v>0</v>
      </c>
      <c r="W277" s="17">
        <f t="shared" si="124"/>
        <v>0</v>
      </c>
      <c r="X277" s="8"/>
    </row>
    <row r="278" spans="1:24" ht="15.75" thickBot="1" x14ac:dyDescent="0.3">
      <c r="A278" s="30"/>
      <c r="B278" s="33"/>
      <c r="C278" s="36"/>
      <c r="D278" s="39"/>
      <c r="E278" s="52"/>
      <c r="F278" s="45"/>
      <c r="G278" s="50" t="s">
        <v>26</v>
      </c>
      <c r="H278" s="51"/>
      <c r="I278" s="20">
        <f t="shared" ref="I278:T278" si="128">(I274+I277)/2</f>
        <v>4.25</v>
      </c>
      <c r="J278" s="7">
        <f t="shared" si="128"/>
        <v>4.75</v>
      </c>
      <c r="K278" s="7">
        <f t="shared" si="128"/>
        <v>5.125</v>
      </c>
      <c r="L278" s="7">
        <f t="shared" si="128"/>
        <v>6</v>
      </c>
      <c r="M278" s="7">
        <f t="shared" si="128"/>
        <v>4.4000000000000004</v>
      </c>
      <c r="N278" s="7">
        <f t="shared" si="128"/>
        <v>0</v>
      </c>
      <c r="O278" s="7">
        <f t="shared" si="128"/>
        <v>4.7074999999999996</v>
      </c>
      <c r="P278" s="7">
        <f t="shared" si="128"/>
        <v>0</v>
      </c>
      <c r="Q278" s="7">
        <f t="shared" si="128"/>
        <v>0</v>
      </c>
      <c r="R278" s="7">
        <f t="shared" si="128"/>
        <v>0</v>
      </c>
      <c r="S278" s="7">
        <f t="shared" si="128"/>
        <v>5.25</v>
      </c>
      <c r="T278" s="7">
        <f t="shared" si="128"/>
        <v>5.625</v>
      </c>
      <c r="U278" s="6"/>
      <c r="V278" s="17">
        <f t="shared" si="123"/>
        <v>40.107500000000002</v>
      </c>
      <c r="W278" s="17">
        <f t="shared" si="124"/>
        <v>5.0134375000000002</v>
      </c>
      <c r="X278" s="8"/>
    </row>
    <row r="279" spans="1:24" ht="15" customHeight="1" x14ac:dyDescent="0.25">
      <c r="A279" s="28">
        <v>40</v>
      </c>
      <c r="B279" s="31" t="s">
        <v>29</v>
      </c>
      <c r="C279" s="34" t="s">
        <v>28</v>
      </c>
      <c r="D279" s="37" t="s">
        <v>30</v>
      </c>
      <c r="E279" s="40" t="s">
        <v>79</v>
      </c>
      <c r="F279" s="43" t="s">
        <v>32</v>
      </c>
      <c r="G279" s="46" t="s">
        <v>36</v>
      </c>
      <c r="H279" s="3" t="s">
        <v>22</v>
      </c>
      <c r="I279" s="19">
        <v>10.33</v>
      </c>
      <c r="J279" s="6">
        <v>11.3</v>
      </c>
      <c r="K279" s="6">
        <v>15</v>
      </c>
      <c r="L279" s="6">
        <v>15.17</v>
      </c>
      <c r="M279" s="6">
        <v>11</v>
      </c>
      <c r="N279" s="6"/>
      <c r="O279" s="6">
        <v>11.83</v>
      </c>
      <c r="P279" s="6"/>
      <c r="Q279" s="6"/>
      <c r="R279" s="6"/>
      <c r="S279" s="6">
        <v>12.66</v>
      </c>
      <c r="T279" s="6">
        <v>7</v>
      </c>
      <c r="U279" s="6"/>
      <c r="V279" s="17">
        <f t="shared" si="123"/>
        <v>94.29</v>
      </c>
      <c r="W279" s="17">
        <f t="shared" si="124"/>
        <v>11.786250000000001</v>
      </c>
      <c r="X279" s="8"/>
    </row>
    <row r="280" spans="1:24" x14ac:dyDescent="0.25">
      <c r="A280" s="29"/>
      <c r="B280" s="32"/>
      <c r="C280" s="35"/>
      <c r="D280" s="38"/>
      <c r="E280" s="41"/>
      <c r="F280" s="44"/>
      <c r="G280" s="47"/>
      <c r="H280" s="4" t="s">
        <v>23</v>
      </c>
      <c r="I280" s="19">
        <v>5</v>
      </c>
      <c r="J280" s="6">
        <v>8</v>
      </c>
      <c r="K280" s="6">
        <v>11</v>
      </c>
      <c r="L280" s="6">
        <v>10.5</v>
      </c>
      <c r="M280" s="6">
        <v>17</v>
      </c>
      <c r="N280" s="6"/>
      <c r="O280" s="6">
        <v>5</v>
      </c>
      <c r="P280" s="6"/>
      <c r="Q280" s="6"/>
      <c r="R280" s="6"/>
      <c r="S280" s="6">
        <v>5</v>
      </c>
      <c r="T280" s="6">
        <v>11</v>
      </c>
      <c r="U280" s="6"/>
      <c r="V280" s="17">
        <f t="shared" si="123"/>
        <v>72.5</v>
      </c>
      <c r="W280" s="17">
        <f t="shared" si="124"/>
        <v>9.0625</v>
      </c>
      <c r="X280" s="8"/>
    </row>
    <row r="281" spans="1:24" x14ac:dyDescent="0.25">
      <c r="A281" s="29"/>
      <c r="B281" s="32"/>
      <c r="C281" s="35"/>
      <c r="D281" s="38"/>
      <c r="E281" s="41"/>
      <c r="F281" s="44"/>
      <c r="G281" s="48"/>
      <c r="H281" s="4" t="s">
        <v>24</v>
      </c>
      <c r="I281" s="20">
        <f t="shared" ref="I281:T281" si="129">(I279+I280)/2</f>
        <v>7.665</v>
      </c>
      <c r="J281" s="7">
        <f t="shared" si="129"/>
        <v>9.65</v>
      </c>
      <c r="K281" s="7">
        <f t="shared" si="129"/>
        <v>13</v>
      </c>
      <c r="L281" s="7">
        <f t="shared" si="129"/>
        <v>12.835000000000001</v>
      </c>
      <c r="M281" s="7">
        <f t="shared" si="129"/>
        <v>14</v>
      </c>
      <c r="N281" s="7">
        <f t="shared" si="129"/>
        <v>0</v>
      </c>
      <c r="O281" s="7">
        <f t="shared" si="129"/>
        <v>8.4149999999999991</v>
      </c>
      <c r="P281" s="7">
        <f t="shared" si="129"/>
        <v>0</v>
      </c>
      <c r="Q281" s="7">
        <f t="shared" si="129"/>
        <v>0</v>
      </c>
      <c r="R281" s="7">
        <f t="shared" si="129"/>
        <v>0</v>
      </c>
      <c r="S281" s="7">
        <f t="shared" si="129"/>
        <v>8.83</v>
      </c>
      <c r="T281" s="7">
        <f t="shared" si="129"/>
        <v>9</v>
      </c>
      <c r="U281" s="6"/>
      <c r="V281" s="17">
        <f t="shared" si="123"/>
        <v>83.394999999999996</v>
      </c>
      <c r="W281" s="17">
        <f t="shared" si="124"/>
        <v>10.424375</v>
      </c>
      <c r="X281" s="8"/>
    </row>
    <row r="282" spans="1:24" ht="15" customHeight="1" x14ac:dyDescent="0.25">
      <c r="A282" s="29"/>
      <c r="B282" s="32"/>
      <c r="C282" s="35"/>
      <c r="D282" s="38"/>
      <c r="E282" s="41"/>
      <c r="F282" s="44"/>
      <c r="G282" s="49" t="s">
        <v>37</v>
      </c>
      <c r="H282" s="4" t="s">
        <v>22</v>
      </c>
      <c r="I282" s="19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7">
        <f t="shared" si="123"/>
        <v>0</v>
      </c>
      <c r="W282" s="17">
        <f t="shared" si="124"/>
        <v>0</v>
      </c>
      <c r="X282" s="8"/>
    </row>
    <row r="283" spans="1:24" x14ac:dyDescent="0.25">
      <c r="A283" s="29"/>
      <c r="B283" s="32"/>
      <c r="C283" s="35"/>
      <c r="D283" s="38"/>
      <c r="E283" s="41"/>
      <c r="F283" s="44"/>
      <c r="G283" s="47"/>
      <c r="H283" s="4" t="s">
        <v>23</v>
      </c>
      <c r="I283" s="1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7">
        <f t="shared" si="123"/>
        <v>0</v>
      </c>
      <c r="W283" s="17">
        <f t="shared" si="124"/>
        <v>0</v>
      </c>
      <c r="X283" s="8"/>
    </row>
    <row r="284" spans="1:24" x14ac:dyDescent="0.25">
      <c r="A284" s="29"/>
      <c r="B284" s="32"/>
      <c r="C284" s="35"/>
      <c r="D284" s="38"/>
      <c r="E284" s="41"/>
      <c r="F284" s="44"/>
      <c r="G284" s="48"/>
      <c r="H284" s="4" t="s">
        <v>25</v>
      </c>
      <c r="I284" s="20">
        <f t="shared" ref="I284:T284" si="130">(I282+I283)/2</f>
        <v>0</v>
      </c>
      <c r="J284" s="7">
        <f t="shared" si="130"/>
        <v>0</v>
      </c>
      <c r="K284" s="7">
        <f t="shared" si="130"/>
        <v>0</v>
      </c>
      <c r="L284" s="7">
        <f t="shared" si="130"/>
        <v>0</v>
      </c>
      <c r="M284" s="7">
        <f t="shared" si="130"/>
        <v>0</v>
      </c>
      <c r="N284" s="7">
        <f t="shared" si="130"/>
        <v>0</v>
      </c>
      <c r="O284" s="7">
        <f t="shared" si="130"/>
        <v>0</v>
      </c>
      <c r="P284" s="7">
        <f t="shared" si="130"/>
        <v>0</v>
      </c>
      <c r="Q284" s="7">
        <f t="shared" si="130"/>
        <v>0</v>
      </c>
      <c r="R284" s="7">
        <f t="shared" si="130"/>
        <v>0</v>
      </c>
      <c r="S284" s="7">
        <f t="shared" si="130"/>
        <v>0</v>
      </c>
      <c r="T284" s="7">
        <f t="shared" si="130"/>
        <v>0</v>
      </c>
      <c r="U284" s="6"/>
      <c r="V284" s="17">
        <f t="shared" si="123"/>
        <v>0</v>
      </c>
      <c r="W284" s="17">
        <f t="shared" si="124"/>
        <v>0</v>
      </c>
      <c r="X284" s="8"/>
    </row>
    <row r="285" spans="1:24" ht="15.75" thickBot="1" x14ac:dyDescent="0.3">
      <c r="A285" s="30"/>
      <c r="B285" s="33"/>
      <c r="C285" s="36"/>
      <c r="D285" s="39"/>
      <c r="E285" s="52"/>
      <c r="F285" s="45"/>
      <c r="G285" s="50" t="s">
        <v>26</v>
      </c>
      <c r="H285" s="51"/>
      <c r="I285" s="20">
        <f t="shared" ref="I285:T285" si="131">(I281+I284)/2</f>
        <v>3.8325</v>
      </c>
      <c r="J285" s="7">
        <f t="shared" si="131"/>
        <v>4.8250000000000002</v>
      </c>
      <c r="K285" s="7">
        <f t="shared" si="131"/>
        <v>6.5</v>
      </c>
      <c r="L285" s="7">
        <f t="shared" si="131"/>
        <v>6.4175000000000004</v>
      </c>
      <c r="M285" s="7">
        <f t="shared" si="131"/>
        <v>7</v>
      </c>
      <c r="N285" s="7">
        <f t="shared" si="131"/>
        <v>0</v>
      </c>
      <c r="O285" s="7">
        <f t="shared" si="131"/>
        <v>4.2074999999999996</v>
      </c>
      <c r="P285" s="7">
        <f t="shared" si="131"/>
        <v>0</v>
      </c>
      <c r="Q285" s="7">
        <f t="shared" si="131"/>
        <v>0</v>
      </c>
      <c r="R285" s="7">
        <f t="shared" si="131"/>
        <v>0</v>
      </c>
      <c r="S285" s="7">
        <f t="shared" si="131"/>
        <v>4.415</v>
      </c>
      <c r="T285" s="7">
        <f t="shared" si="131"/>
        <v>4.5</v>
      </c>
      <c r="U285" s="6"/>
      <c r="V285" s="17">
        <f t="shared" si="123"/>
        <v>41.697499999999998</v>
      </c>
      <c r="W285" s="17">
        <f t="shared" si="124"/>
        <v>5.2121874999999998</v>
      </c>
      <c r="X285" s="8"/>
    </row>
    <row r="286" spans="1:24" ht="15" customHeight="1" x14ac:dyDescent="0.25">
      <c r="A286" s="28">
        <v>41</v>
      </c>
      <c r="B286" s="31" t="s">
        <v>29</v>
      </c>
      <c r="C286" s="34" t="s">
        <v>28</v>
      </c>
      <c r="D286" s="37" t="s">
        <v>30</v>
      </c>
      <c r="E286" s="40" t="s">
        <v>80</v>
      </c>
      <c r="F286" s="43"/>
      <c r="G286" s="46" t="s">
        <v>36</v>
      </c>
      <c r="H286" s="3" t="s">
        <v>22</v>
      </c>
      <c r="I286" s="19"/>
      <c r="J286" s="6"/>
      <c r="K286" s="6"/>
      <c r="L286" s="6"/>
      <c r="M286" s="6">
        <v>5</v>
      </c>
      <c r="N286" s="6"/>
      <c r="O286" s="6"/>
      <c r="P286" s="6"/>
      <c r="Q286" s="6"/>
      <c r="R286" s="6"/>
      <c r="S286" s="6">
        <v>12.66</v>
      </c>
      <c r="T286" s="6"/>
      <c r="U286" s="6"/>
      <c r="V286" s="17">
        <f t="shared" si="123"/>
        <v>17.66</v>
      </c>
      <c r="W286" s="17">
        <f t="shared" si="124"/>
        <v>2.2075</v>
      </c>
      <c r="X286" s="8"/>
    </row>
    <row r="287" spans="1:24" x14ac:dyDescent="0.25">
      <c r="A287" s="29"/>
      <c r="B287" s="32"/>
      <c r="C287" s="35"/>
      <c r="D287" s="38"/>
      <c r="E287" s="41"/>
      <c r="F287" s="44"/>
      <c r="G287" s="47"/>
      <c r="H287" s="4" t="s">
        <v>23</v>
      </c>
      <c r="I287" s="19"/>
      <c r="J287" s="6"/>
      <c r="K287" s="6"/>
      <c r="L287" s="6"/>
      <c r="M287" s="6">
        <v>0</v>
      </c>
      <c r="N287" s="6"/>
      <c r="O287" s="6"/>
      <c r="P287" s="6"/>
      <c r="Q287" s="6"/>
      <c r="R287" s="6"/>
      <c r="S287" s="6">
        <v>0</v>
      </c>
      <c r="T287" s="6"/>
      <c r="U287" s="6"/>
      <c r="V287" s="17">
        <f t="shared" si="123"/>
        <v>0</v>
      </c>
      <c r="W287" s="17">
        <f t="shared" si="124"/>
        <v>0</v>
      </c>
      <c r="X287" s="8"/>
    </row>
    <row r="288" spans="1:24" x14ac:dyDescent="0.25">
      <c r="A288" s="29"/>
      <c r="B288" s="32"/>
      <c r="C288" s="35"/>
      <c r="D288" s="38"/>
      <c r="E288" s="41"/>
      <c r="F288" s="44"/>
      <c r="G288" s="48"/>
      <c r="H288" s="4" t="s">
        <v>24</v>
      </c>
      <c r="I288" s="20">
        <f t="shared" ref="I288:T288" si="132">(I286+I287)/2</f>
        <v>0</v>
      </c>
      <c r="J288" s="7">
        <f t="shared" si="132"/>
        <v>0</v>
      </c>
      <c r="K288" s="7">
        <f t="shared" si="132"/>
        <v>0</v>
      </c>
      <c r="L288" s="7">
        <f t="shared" si="132"/>
        <v>0</v>
      </c>
      <c r="M288" s="7">
        <f t="shared" si="132"/>
        <v>2.5</v>
      </c>
      <c r="N288" s="7">
        <f t="shared" si="132"/>
        <v>0</v>
      </c>
      <c r="O288" s="7">
        <f t="shared" si="132"/>
        <v>0</v>
      </c>
      <c r="P288" s="7">
        <f t="shared" si="132"/>
        <v>0</v>
      </c>
      <c r="Q288" s="7">
        <f t="shared" si="132"/>
        <v>0</v>
      </c>
      <c r="R288" s="7">
        <f t="shared" si="132"/>
        <v>0</v>
      </c>
      <c r="S288" s="7">
        <f t="shared" si="132"/>
        <v>6.33</v>
      </c>
      <c r="T288" s="7">
        <f t="shared" si="132"/>
        <v>0</v>
      </c>
      <c r="U288" s="6"/>
      <c r="V288" s="17">
        <f t="shared" si="123"/>
        <v>8.83</v>
      </c>
      <c r="W288" s="17">
        <f t="shared" si="124"/>
        <v>1.10375</v>
      </c>
      <c r="X288" s="8"/>
    </row>
    <row r="289" spans="1:24" ht="15" customHeight="1" x14ac:dyDescent="0.25">
      <c r="A289" s="29"/>
      <c r="B289" s="32"/>
      <c r="C289" s="35"/>
      <c r="D289" s="38"/>
      <c r="E289" s="41"/>
      <c r="F289" s="44"/>
      <c r="G289" s="49" t="s">
        <v>37</v>
      </c>
      <c r="H289" s="4" t="s">
        <v>22</v>
      </c>
      <c r="I289" s="19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7">
        <f t="shared" si="123"/>
        <v>0</v>
      </c>
      <c r="W289" s="17">
        <f t="shared" si="124"/>
        <v>0</v>
      </c>
      <c r="X289" s="8"/>
    </row>
    <row r="290" spans="1:24" x14ac:dyDescent="0.25">
      <c r="A290" s="29"/>
      <c r="B290" s="32"/>
      <c r="C290" s="35"/>
      <c r="D290" s="38"/>
      <c r="E290" s="41"/>
      <c r="F290" s="44"/>
      <c r="G290" s="47"/>
      <c r="H290" s="4" t="s">
        <v>23</v>
      </c>
      <c r="I290" s="19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7">
        <f t="shared" si="123"/>
        <v>0</v>
      </c>
      <c r="W290" s="17">
        <f t="shared" si="124"/>
        <v>0</v>
      </c>
      <c r="X290" s="8"/>
    </row>
    <row r="291" spans="1:24" x14ac:dyDescent="0.25">
      <c r="A291" s="29"/>
      <c r="B291" s="32"/>
      <c r="C291" s="35"/>
      <c r="D291" s="38"/>
      <c r="E291" s="41"/>
      <c r="F291" s="44"/>
      <c r="G291" s="48"/>
      <c r="H291" s="4" t="s">
        <v>25</v>
      </c>
      <c r="I291" s="20">
        <f t="shared" ref="I291:T291" si="133">(I289+I290)/2</f>
        <v>0</v>
      </c>
      <c r="J291" s="7">
        <f t="shared" si="133"/>
        <v>0</v>
      </c>
      <c r="K291" s="7">
        <f t="shared" si="133"/>
        <v>0</v>
      </c>
      <c r="L291" s="7">
        <f t="shared" si="133"/>
        <v>0</v>
      </c>
      <c r="M291" s="7">
        <f t="shared" si="133"/>
        <v>0</v>
      </c>
      <c r="N291" s="7">
        <f t="shared" si="133"/>
        <v>0</v>
      </c>
      <c r="O291" s="7">
        <f t="shared" si="133"/>
        <v>0</v>
      </c>
      <c r="P291" s="7">
        <f t="shared" si="133"/>
        <v>0</v>
      </c>
      <c r="Q291" s="7">
        <f t="shared" si="133"/>
        <v>0</v>
      </c>
      <c r="R291" s="7">
        <f t="shared" si="133"/>
        <v>0</v>
      </c>
      <c r="S291" s="7">
        <f t="shared" si="133"/>
        <v>0</v>
      </c>
      <c r="T291" s="7">
        <f t="shared" si="133"/>
        <v>0</v>
      </c>
      <c r="U291" s="6"/>
      <c r="V291" s="17">
        <f t="shared" si="123"/>
        <v>0</v>
      </c>
      <c r="W291" s="17">
        <f t="shared" si="124"/>
        <v>0</v>
      </c>
      <c r="X291" s="8"/>
    </row>
    <row r="292" spans="1:24" ht="15.75" thickBot="1" x14ac:dyDescent="0.3">
      <c r="A292" s="30"/>
      <c r="B292" s="33"/>
      <c r="C292" s="36"/>
      <c r="D292" s="39"/>
      <c r="E292" s="52"/>
      <c r="F292" s="45"/>
      <c r="G292" s="50" t="s">
        <v>26</v>
      </c>
      <c r="H292" s="51"/>
      <c r="I292" s="20">
        <f t="shared" ref="I292:T292" si="134">(I288+I291)/2</f>
        <v>0</v>
      </c>
      <c r="J292" s="7">
        <f t="shared" si="134"/>
        <v>0</v>
      </c>
      <c r="K292" s="7">
        <f t="shared" si="134"/>
        <v>0</v>
      </c>
      <c r="L292" s="7">
        <f t="shared" si="134"/>
        <v>0</v>
      </c>
      <c r="M292" s="7">
        <f t="shared" si="134"/>
        <v>1.25</v>
      </c>
      <c r="N292" s="7">
        <f t="shared" si="134"/>
        <v>0</v>
      </c>
      <c r="O292" s="7">
        <f t="shared" si="134"/>
        <v>0</v>
      </c>
      <c r="P292" s="7">
        <f t="shared" si="134"/>
        <v>0</v>
      </c>
      <c r="Q292" s="7">
        <f t="shared" si="134"/>
        <v>0</v>
      </c>
      <c r="R292" s="7">
        <f t="shared" si="134"/>
        <v>0</v>
      </c>
      <c r="S292" s="7">
        <f t="shared" si="134"/>
        <v>3.165</v>
      </c>
      <c r="T292" s="7">
        <f t="shared" si="134"/>
        <v>0</v>
      </c>
      <c r="U292" s="6"/>
      <c r="V292" s="17">
        <f t="shared" si="123"/>
        <v>4.415</v>
      </c>
      <c r="W292" s="17">
        <f t="shared" si="124"/>
        <v>0.551875</v>
      </c>
      <c r="X292" s="8"/>
    </row>
    <row r="293" spans="1:24" ht="15" customHeight="1" x14ac:dyDescent="0.25">
      <c r="A293" s="28">
        <v>42</v>
      </c>
      <c r="B293" s="31" t="s">
        <v>29</v>
      </c>
      <c r="C293" s="34" t="s">
        <v>28</v>
      </c>
      <c r="D293" s="37" t="s">
        <v>30</v>
      </c>
      <c r="E293" s="40" t="s">
        <v>39</v>
      </c>
      <c r="F293" s="43"/>
      <c r="G293" s="46" t="s">
        <v>36</v>
      </c>
      <c r="H293" s="3" t="s">
        <v>22</v>
      </c>
      <c r="I293" s="19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7">
        <f t="shared" si="123"/>
        <v>0</v>
      </c>
      <c r="W293" s="17">
        <f t="shared" si="124"/>
        <v>0</v>
      </c>
      <c r="X293" s="8"/>
    </row>
    <row r="294" spans="1:24" x14ac:dyDescent="0.25">
      <c r="A294" s="29"/>
      <c r="B294" s="32"/>
      <c r="C294" s="35"/>
      <c r="D294" s="38"/>
      <c r="E294" s="41"/>
      <c r="F294" s="44"/>
      <c r="G294" s="47"/>
      <c r="H294" s="4" t="s">
        <v>23</v>
      </c>
      <c r="I294" s="19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7">
        <f t="shared" si="123"/>
        <v>0</v>
      </c>
      <c r="W294" s="17">
        <f t="shared" si="124"/>
        <v>0</v>
      </c>
      <c r="X294" s="8"/>
    </row>
    <row r="295" spans="1:24" x14ac:dyDescent="0.25">
      <c r="A295" s="29"/>
      <c r="B295" s="32"/>
      <c r="C295" s="35"/>
      <c r="D295" s="38"/>
      <c r="E295" s="41"/>
      <c r="F295" s="44"/>
      <c r="G295" s="48"/>
      <c r="H295" s="4" t="s">
        <v>24</v>
      </c>
      <c r="I295" s="20">
        <f t="shared" ref="I295:T295" si="135">(I293+I294)/2</f>
        <v>0</v>
      </c>
      <c r="J295" s="7">
        <f t="shared" si="135"/>
        <v>0</v>
      </c>
      <c r="K295" s="7">
        <f t="shared" si="135"/>
        <v>0</v>
      </c>
      <c r="L295" s="7">
        <f t="shared" si="135"/>
        <v>0</v>
      </c>
      <c r="M295" s="7">
        <f t="shared" si="135"/>
        <v>0</v>
      </c>
      <c r="N295" s="7">
        <f t="shared" si="135"/>
        <v>0</v>
      </c>
      <c r="O295" s="7">
        <f t="shared" si="135"/>
        <v>0</v>
      </c>
      <c r="P295" s="7">
        <f t="shared" si="135"/>
        <v>0</v>
      </c>
      <c r="Q295" s="7">
        <f t="shared" si="135"/>
        <v>0</v>
      </c>
      <c r="R295" s="7">
        <f t="shared" si="135"/>
        <v>0</v>
      </c>
      <c r="S295" s="7">
        <f t="shared" si="135"/>
        <v>0</v>
      </c>
      <c r="T295" s="7">
        <f t="shared" si="135"/>
        <v>0</v>
      </c>
      <c r="U295" s="6"/>
      <c r="V295" s="17">
        <f t="shared" si="123"/>
        <v>0</v>
      </c>
      <c r="W295" s="17">
        <f t="shared" si="124"/>
        <v>0</v>
      </c>
      <c r="X295" s="8"/>
    </row>
    <row r="296" spans="1:24" ht="15" customHeight="1" x14ac:dyDescent="0.25">
      <c r="A296" s="29"/>
      <c r="B296" s="32"/>
      <c r="C296" s="35"/>
      <c r="D296" s="38"/>
      <c r="E296" s="41"/>
      <c r="F296" s="44"/>
      <c r="G296" s="49" t="s">
        <v>37</v>
      </c>
      <c r="H296" s="4" t="s">
        <v>22</v>
      </c>
      <c r="I296" s="19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7">
        <f t="shared" si="123"/>
        <v>0</v>
      </c>
      <c r="W296" s="17">
        <f t="shared" si="124"/>
        <v>0</v>
      </c>
      <c r="X296" s="8"/>
    </row>
    <row r="297" spans="1:24" x14ac:dyDescent="0.25">
      <c r="A297" s="29"/>
      <c r="B297" s="32"/>
      <c r="C297" s="35"/>
      <c r="D297" s="38"/>
      <c r="E297" s="41"/>
      <c r="F297" s="44"/>
      <c r="G297" s="47"/>
      <c r="H297" s="4" t="s">
        <v>23</v>
      </c>
      <c r="I297" s="19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7">
        <f t="shared" si="123"/>
        <v>0</v>
      </c>
      <c r="W297" s="17">
        <f t="shared" si="124"/>
        <v>0</v>
      </c>
      <c r="X297" s="8"/>
    </row>
    <row r="298" spans="1:24" x14ac:dyDescent="0.25">
      <c r="A298" s="29"/>
      <c r="B298" s="32"/>
      <c r="C298" s="35"/>
      <c r="D298" s="38"/>
      <c r="E298" s="41"/>
      <c r="F298" s="44"/>
      <c r="G298" s="48"/>
      <c r="H298" s="4" t="s">
        <v>25</v>
      </c>
      <c r="I298" s="20">
        <f t="shared" ref="I298:T298" si="136">(I296+I297)/2</f>
        <v>0</v>
      </c>
      <c r="J298" s="7">
        <f t="shared" si="136"/>
        <v>0</v>
      </c>
      <c r="K298" s="7">
        <f t="shared" si="136"/>
        <v>0</v>
      </c>
      <c r="L298" s="7">
        <f t="shared" si="136"/>
        <v>0</v>
      </c>
      <c r="M298" s="7">
        <f t="shared" si="136"/>
        <v>0</v>
      </c>
      <c r="N298" s="7">
        <f t="shared" si="136"/>
        <v>0</v>
      </c>
      <c r="O298" s="7">
        <f t="shared" si="136"/>
        <v>0</v>
      </c>
      <c r="P298" s="7">
        <f t="shared" si="136"/>
        <v>0</v>
      </c>
      <c r="Q298" s="7">
        <f t="shared" si="136"/>
        <v>0</v>
      </c>
      <c r="R298" s="7">
        <f t="shared" si="136"/>
        <v>0</v>
      </c>
      <c r="S298" s="7">
        <f t="shared" si="136"/>
        <v>0</v>
      </c>
      <c r="T298" s="7">
        <f t="shared" si="136"/>
        <v>0</v>
      </c>
      <c r="U298" s="6"/>
      <c r="V298" s="17">
        <f t="shared" si="123"/>
        <v>0</v>
      </c>
      <c r="W298" s="17">
        <f t="shared" si="124"/>
        <v>0</v>
      </c>
      <c r="X298" s="8"/>
    </row>
    <row r="299" spans="1:24" ht="15.75" thickBot="1" x14ac:dyDescent="0.3">
      <c r="A299" s="30"/>
      <c r="B299" s="33"/>
      <c r="C299" s="36"/>
      <c r="D299" s="39"/>
      <c r="E299" s="52"/>
      <c r="F299" s="45"/>
      <c r="G299" s="50" t="s">
        <v>26</v>
      </c>
      <c r="H299" s="51"/>
      <c r="I299" s="20">
        <f t="shared" ref="I299:T299" si="137">(I295+I298)/2</f>
        <v>0</v>
      </c>
      <c r="J299" s="7">
        <f t="shared" si="137"/>
        <v>0</v>
      </c>
      <c r="K299" s="7">
        <f t="shared" si="137"/>
        <v>0</v>
      </c>
      <c r="L299" s="7">
        <f t="shared" si="137"/>
        <v>0</v>
      </c>
      <c r="M299" s="7">
        <f t="shared" si="137"/>
        <v>0</v>
      </c>
      <c r="N299" s="7">
        <f t="shared" si="137"/>
        <v>0</v>
      </c>
      <c r="O299" s="7">
        <f t="shared" si="137"/>
        <v>0</v>
      </c>
      <c r="P299" s="7">
        <f t="shared" si="137"/>
        <v>0</v>
      </c>
      <c r="Q299" s="7">
        <f t="shared" si="137"/>
        <v>0</v>
      </c>
      <c r="R299" s="7">
        <f t="shared" si="137"/>
        <v>0</v>
      </c>
      <c r="S299" s="7">
        <f t="shared" si="137"/>
        <v>0</v>
      </c>
      <c r="T299" s="7">
        <f t="shared" si="137"/>
        <v>0</v>
      </c>
      <c r="U299" s="6"/>
      <c r="V299" s="17">
        <f t="shared" si="123"/>
        <v>0</v>
      </c>
      <c r="W299" s="17">
        <f t="shared" si="124"/>
        <v>0</v>
      </c>
      <c r="X299" s="8"/>
    </row>
    <row r="300" spans="1:24" ht="15" customHeight="1" x14ac:dyDescent="0.25">
      <c r="A300" s="28">
        <v>43</v>
      </c>
      <c r="B300" s="31" t="s">
        <v>29</v>
      </c>
      <c r="C300" s="34" t="s">
        <v>28</v>
      </c>
      <c r="D300" s="37" t="s">
        <v>30</v>
      </c>
      <c r="E300" s="40"/>
      <c r="F300" s="43"/>
      <c r="G300" s="46" t="s">
        <v>36</v>
      </c>
      <c r="H300" s="3" t="s">
        <v>22</v>
      </c>
      <c r="I300" s="19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7">
        <f t="shared" si="123"/>
        <v>0</v>
      </c>
      <c r="W300" s="17">
        <f t="shared" si="124"/>
        <v>0</v>
      </c>
      <c r="X300" s="8"/>
    </row>
    <row r="301" spans="1:24" x14ac:dyDescent="0.25">
      <c r="A301" s="29"/>
      <c r="B301" s="32"/>
      <c r="C301" s="35"/>
      <c r="D301" s="38"/>
      <c r="E301" s="41"/>
      <c r="F301" s="44"/>
      <c r="G301" s="47"/>
      <c r="H301" s="4" t="s">
        <v>23</v>
      </c>
      <c r="I301" s="19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7">
        <f t="shared" si="123"/>
        <v>0</v>
      </c>
      <c r="W301" s="17">
        <f t="shared" si="124"/>
        <v>0</v>
      </c>
      <c r="X301" s="8"/>
    </row>
    <row r="302" spans="1:24" x14ac:dyDescent="0.25">
      <c r="A302" s="29"/>
      <c r="B302" s="32"/>
      <c r="C302" s="35"/>
      <c r="D302" s="38"/>
      <c r="E302" s="41"/>
      <c r="F302" s="44"/>
      <c r="G302" s="48"/>
      <c r="H302" s="4" t="s">
        <v>24</v>
      </c>
      <c r="I302" s="20">
        <f t="shared" ref="I302:T302" si="138">(I300+I301)/2</f>
        <v>0</v>
      </c>
      <c r="J302" s="7">
        <f t="shared" si="138"/>
        <v>0</v>
      </c>
      <c r="K302" s="7">
        <f t="shared" si="138"/>
        <v>0</v>
      </c>
      <c r="L302" s="7">
        <f t="shared" si="138"/>
        <v>0</v>
      </c>
      <c r="M302" s="7">
        <f t="shared" si="138"/>
        <v>0</v>
      </c>
      <c r="N302" s="7">
        <f t="shared" si="138"/>
        <v>0</v>
      </c>
      <c r="O302" s="7">
        <f t="shared" si="138"/>
        <v>0</v>
      </c>
      <c r="P302" s="7">
        <f t="shared" si="138"/>
        <v>0</v>
      </c>
      <c r="Q302" s="7">
        <f t="shared" si="138"/>
        <v>0</v>
      </c>
      <c r="R302" s="7">
        <f t="shared" si="138"/>
        <v>0</v>
      </c>
      <c r="S302" s="7">
        <f t="shared" si="138"/>
        <v>0</v>
      </c>
      <c r="T302" s="7">
        <f t="shared" si="138"/>
        <v>0</v>
      </c>
      <c r="U302" s="6"/>
      <c r="V302" s="17">
        <f t="shared" si="123"/>
        <v>0</v>
      </c>
      <c r="W302" s="17">
        <f t="shared" si="124"/>
        <v>0</v>
      </c>
      <c r="X302" s="8"/>
    </row>
    <row r="303" spans="1:24" ht="15" customHeight="1" x14ac:dyDescent="0.25">
      <c r="A303" s="29"/>
      <c r="B303" s="32"/>
      <c r="C303" s="35"/>
      <c r="D303" s="38"/>
      <c r="E303" s="41"/>
      <c r="F303" s="44"/>
      <c r="G303" s="49" t="s">
        <v>37</v>
      </c>
      <c r="H303" s="4" t="s">
        <v>22</v>
      </c>
      <c r="I303" s="19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7">
        <f t="shared" si="123"/>
        <v>0</v>
      </c>
      <c r="W303" s="17">
        <f t="shared" si="124"/>
        <v>0</v>
      </c>
      <c r="X303" s="8"/>
    </row>
    <row r="304" spans="1:24" x14ac:dyDescent="0.25">
      <c r="A304" s="29"/>
      <c r="B304" s="32"/>
      <c r="C304" s="35"/>
      <c r="D304" s="38"/>
      <c r="E304" s="41"/>
      <c r="F304" s="44"/>
      <c r="G304" s="47"/>
      <c r="H304" s="4" t="s">
        <v>23</v>
      </c>
      <c r="I304" s="1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7">
        <f t="shared" si="123"/>
        <v>0</v>
      </c>
      <c r="W304" s="17">
        <f t="shared" si="124"/>
        <v>0</v>
      </c>
      <c r="X304" s="8"/>
    </row>
    <row r="305" spans="1:24" x14ac:dyDescent="0.25">
      <c r="A305" s="29"/>
      <c r="B305" s="32"/>
      <c r="C305" s="35"/>
      <c r="D305" s="38"/>
      <c r="E305" s="41"/>
      <c r="F305" s="44"/>
      <c r="G305" s="48"/>
      <c r="H305" s="4" t="s">
        <v>25</v>
      </c>
      <c r="I305" s="20">
        <f t="shared" ref="I305:T305" si="139">(I303+I304)/2</f>
        <v>0</v>
      </c>
      <c r="J305" s="7">
        <f t="shared" si="139"/>
        <v>0</v>
      </c>
      <c r="K305" s="7">
        <f t="shared" si="139"/>
        <v>0</v>
      </c>
      <c r="L305" s="7">
        <f t="shared" si="139"/>
        <v>0</v>
      </c>
      <c r="M305" s="7">
        <f t="shared" si="139"/>
        <v>0</v>
      </c>
      <c r="N305" s="7">
        <f t="shared" si="139"/>
        <v>0</v>
      </c>
      <c r="O305" s="7">
        <f t="shared" si="139"/>
        <v>0</v>
      </c>
      <c r="P305" s="7">
        <f t="shared" si="139"/>
        <v>0</v>
      </c>
      <c r="Q305" s="7">
        <f t="shared" si="139"/>
        <v>0</v>
      </c>
      <c r="R305" s="7">
        <f t="shared" si="139"/>
        <v>0</v>
      </c>
      <c r="S305" s="7">
        <f t="shared" si="139"/>
        <v>0</v>
      </c>
      <c r="T305" s="7">
        <f t="shared" si="139"/>
        <v>0</v>
      </c>
      <c r="U305" s="6"/>
      <c r="V305" s="17">
        <f t="shared" si="123"/>
        <v>0</v>
      </c>
      <c r="W305" s="17">
        <f t="shared" si="124"/>
        <v>0</v>
      </c>
      <c r="X305" s="8"/>
    </row>
    <row r="306" spans="1:24" ht="15.75" thickBot="1" x14ac:dyDescent="0.3">
      <c r="A306" s="30"/>
      <c r="B306" s="33"/>
      <c r="C306" s="36"/>
      <c r="D306" s="39"/>
      <c r="E306" s="52"/>
      <c r="F306" s="45"/>
      <c r="G306" s="50" t="s">
        <v>26</v>
      </c>
      <c r="H306" s="51"/>
      <c r="I306" s="20">
        <f t="shared" ref="I306:T306" si="140">(I302+I305)/2</f>
        <v>0</v>
      </c>
      <c r="J306" s="7">
        <f t="shared" si="140"/>
        <v>0</v>
      </c>
      <c r="K306" s="7">
        <f t="shared" si="140"/>
        <v>0</v>
      </c>
      <c r="L306" s="7">
        <f t="shared" si="140"/>
        <v>0</v>
      </c>
      <c r="M306" s="7">
        <f t="shared" si="140"/>
        <v>0</v>
      </c>
      <c r="N306" s="7">
        <f t="shared" si="140"/>
        <v>0</v>
      </c>
      <c r="O306" s="7">
        <f t="shared" si="140"/>
        <v>0</v>
      </c>
      <c r="P306" s="7">
        <f t="shared" si="140"/>
        <v>0</v>
      </c>
      <c r="Q306" s="7">
        <f t="shared" si="140"/>
        <v>0</v>
      </c>
      <c r="R306" s="7">
        <f t="shared" si="140"/>
        <v>0</v>
      </c>
      <c r="S306" s="7">
        <f t="shared" si="140"/>
        <v>0</v>
      </c>
      <c r="T306" s="7">
        <f t="shared" si="140"/>
        <v>0</v>
      </c>
      <c r="U306" s="6"/>
      <c r="V306" s="17">
        <f t="shared" si="123"/>
        <v>0</v>
      </c>
      <c r="W306" s="17">
        <f t="shared" si="124"/>
        <v>0</v>
      </c>
      <c r="X306" s="8"/>
    </row>
    <row r="307" spans="1:24" ht="15" customHeight="1" x14ac:dyDescent="0.25">
      <c r="A307" s="28">
        <v>44</v>
      </c>
      <c r="B307" s="31" t="s">
        <v>29</v>
      </c>
      <c r="C307" s="34" t="s">
        <v>28</v>
      </c>
      <c r="D307" s="37" t="s">
        <v>30</v>
      </c>
      <c r="E307" s="40"/>
      <c r="F307" s="43"/>
      <c r="G307" s="46" t="s">
        <v>36</v>
      </c>
      <c r="H307" s="3" t="s">
        <v>22</v>
      </c>
      <c r="I307" s="19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7">
        <f t="shared" si="123"/>
        <v>0</v>
      </c>
      <c r="W307" s="17">
        <f t="shared" si="124"/>
        <v>0</v>
      </c>
      <c r="X307" s="8"/>
    </row>
    <row r="308" spans="1:24" x14ac:dyDescent="0.25">
      <c r="A308" s="29"/>
      <c r="B308" s="32"/>
      <c r="C308" s="35"/>
      <c r="D308" s="38"/>
      <c r="E308" s="41"/>
      <c r="F308" s="44"/>
      <c r="G308" s="47"/>
      <c r="H308" s="4" t="s">
        <v>23</v>
      </c>
      <c r="I308" s="19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7">
        <f t="shared" si="123"/>
        <v>0</v>
      </c>
      <c r="W308" s="17">
        <f t="shared" si="124"/>
        <v>0</v>
      </c>
      <c r="X308" s="8"/>
    </row>
    <row r="309" spans="1:24" x14ac:dyDescent="0.25">
      <c r="A309" s="29"/>
      <c r="B309" s="32"/>
      <c r="C309" s="35"/>
      <c r="D309" s="38"/>
      <c r="E309" s="41"/>
      <c r="F309" s="44"/>
      <c r="G309" s="48"/>
      <c r="H309" s="4" t="s">
        <v>24</v>
      </c>
      <c r="I309" s="20">
        <f t="shared" ref="I309:T309" si="141">(I307+I308)/2</f>
        <v>0</v>
      </c>
      <c r="J309" s="7">
        <f t="shared" si="141"/>
        <v>0</v>
      </c>
      <c r="K309" s="7">
        <f t="shared" si="141"/>
        <v>0</v>
      </c>
      <c r="L309" s="7">
        <f t="shared" si="141"/>
        <v>0</v>
      </c>
      <c r="M309" s="7">
        <f t="shared" si="141"/>
        <v>0</v>
      </c>
      <c r="N309" s="7">
        <f t="shared" si="141"/>
        <v>0</v>
      </c>
      <c r="O309" s="7">
        <f t="shared" si="141"/>
        <v>0</v>
      </c>
      <c r="P309" s="7">
        <f t="shared" si="141"/>
        <v>0</v>
      </c>
      <c r="Q309" s="7">
        <f t="shared" si="141"/>
        <v>0</v>
      </c>
      <c r="R309" s="7">
        <f t="shared" si="141"/>
        <v>0</v>
      </c>
      <c r="S309" s="7">
        <f t="shared" si="141"/>
        <v>0</v>
      </c>
      <c r="T309" s="7">
        <f t="shared" si="141"/>
        <v>0</v>
      </c>
      <c r="U309" s="6"/>
      <c r="V309" s="17">
        <f t="shared" si="123"/>
        <v>0</v>
      </c>
      <c r="W309" s="17">
        <f t="shared" si="124"/>
        <v>0</v>
      </c>
      <c r="X309" s="8"/>
    </row>
    <row r="310" spans="1:24" ht="15" customHeight="1" x14ac:dyDescent="0.25">
      <c r="A310" s="29"/>
      <c r="B310" s="32"/>
      <c r="C310" s="35"/>
      <c r="D310" s="38"/>
      <c r="E310" s="41"/>
      <c r="F310" s="44"/>
      <c r="G310" s="49" t="s">
        <v>37</v>
      </c>
      <c r="H310" s="4" t="s">
        <v>22</v>
      </c>
      <c r="I310" s="19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7">
        <f t="shared" si="123"/>
        <v>0</v>
      </c>
      <c r="W310" s="17">
        <f t="shared" si="124"/>
        <v>0</v>
      </c>
      <c r="X310" s="8"/>
    </row>
    <row r="311" spans="1:24" x14ac:dyDescent="0.25">
      <c r="A311" s="29"/>
      <c r="B311" s="32"/>
      <c r="C311" s="35"/>
      <c r="D311" s="38"/>
      <c r="E311" s="41"/>
      <c r="F311" s="44"/>
      <c r="G311" s="47"/>
      <c r="H311" s="4" t="s">
        <v>23</v>
      </c>
      <c r="I311" s="19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7">
        <f t="shared" si="123"/>
        <v>0</v>
      </c>
      <c r="W311" s="17">
        <f t="shared" si="124"/>
        <v>0</v>
      </c>
      <c r="X311" s="8"/>
    </row>
    <row r="312" spans="1:24" x14ac:dyDescent="0.25">
      <c r="A312" s="29"/>
      <c r="B312" s="32"/>
      <c r="C312" s="35"/>
      <c r="D312" s="38"/>
      <c r="E312" s="41"/>
      <c r="F312" s="44"/>
      <c r="G312" s="48"/>
      <c r="H312" s="4" t="s">
        <v>25</v>
      </c>
      <c r="I312" s="20">
        <f t="shared" ref="I312:T312" si="142">(I310+I311)/2</f>
        <v>0</v>
      </c>
      <c r="J312" s="7">
        <f t="shared" si="142"/>
        <v>0</v>
      </c>
      <c r="K312" s="7">
        <f t="shared" si="142"/>
        <v>0</v>
      </c>
      <c r="L312" s="7">
        <f t="shared" si="142"/>
        <v>0</v>
      </c>
      <c r="M312" s="7">
        <f t="shared" si="142"/>
        <v>0</v>
      </c>
      <c r="N312" s="7">
        <f t="shared" si="142"/>
        <v>0</v>
      </c>
      <c r="O312" s="7">
        <f t="shared" si="142"/>
        <v>0</v>
      </c>
      <c r="P312" s="7">
        <f t="shared" si="142"/>
        <v>0</v>
      </c>
      <c r="Q312" s="7">
        <f t="shared" si="142"/>
        <v>0</v>
      </c>
      <c r="R312" s="7">
        <f t="shared" si="142"/>
        <v>0</v>
      </c>
      <c r="S312" s="7">
        <f t="shared" si="142"/>
        <v>0</v>
      </c>
      <c r="T312" s="7">
        <f t="shared" si="142"/>
        <v>0</v>
      </c>
      <c r="U312" s="6"/>
      <c r="V312" s="17">
        <f t="shared" si="123"/>
        <v>0</v>
      </c>
      <c r="W312" s="17">
        <f t="shared" si="124"/>
        <v>0</v>
      </c>
      <c r="X312" s="8"/>
    </row>
    <row r="313" spans="1:24" ht="15.75" thickBot="1" x14ac:dyDescent="0.3">
      <c r="A313" s="30"/>
      <c r="B313" s="33"/>
      <c r="C313" s="36"/>
      <c r="D313" s="39"/>
      <c r="E313" s="42"/>
      <c r="F313" s="45"/>
      <c r="G313" s="50" t="s">
        <v>26</v>
      </c>
      <c r="H313" s="51"/>
      <c r="I313" s="21">
        <f t="shared" ref="I313:T313" si="143">(I309+I312)/2</f>
        <v>0</v>
      </c>
      <c r="J313" s="9">
        <f t="shared" si="143"/>
        <v>0</v>
      </c>
      <c r="K313" s="9">
        <f t="shared" si="143"/>
        <v>0</v>
      </c>
      <c r="L313" s="9">
        <f t="shared" si="143"/>
        <v>0</v>
      </c>
      <c r="M313" s="9">
        <f t="shared" si="143"/>
        <v>0</v>
      </c>
      <c r="N313" s="9">
        <f t="shared" si="143"/>
        <v>0</v>
      </c>
      <c r="O313" s="9">
        <f t="shared" si="143"/>
        <v>0</v>
      </c>
      <c r="P313" s="9">
        <f t="shared" si="143"/>
        <v>0</v>
      </c>
      <c r="Q313" s="9">
        <f t="shared" si="143"/>
        <v>0</v>
      </c>
      <c r="R313" s="9">
        <f t="shared" si="143"/>
        <v>0</v>
      </c>
      <c r="S313" s="9">
        <f t="shared" si="143"/>
        <v>0</v>
      </c>
      <c r="T313" s="9">
        <f t="shared" si="143"/>
        <v>0</v>
      </c>
      <c r="U313" s="13"/>
      <c r="V313" s="26">
        <f t="shared" si="123"/>
        <v>0</v>
      </c>
      <c r="W313" s="26">
        <f t="shared" si="124"/>
        <v>0</v>
      </c>
      <c r="X313" s="11"/>
    </row>
  </sheetData>
  <mergeCells count="408">
    <mergeCell ref="A258:A264"/>
    <mergeCell ref="B258:B264"/>
    <mergeCell ref="C258:C264"/>
    <mergeCell ref="D258:D264"/>
    <mergeCell ref="G258:G260"/>
    <mergeCell ref="G261:G263"/>
    <mergeCell ref="G264:H264"/>
    <mergeCell ref="F258:F264"/>
    <mergeCell ref="A251:A257"/>
    <mergeCell ref="B251:B257"/>
    <mergeCell ref="C251:C257"/>
    <mergeCell ref="D251:D257"/>
    <mergeCell ref="G251:G253"/>
    <mergeCell ref="G254:G256"/>
    <mergeCell ref="G257:H257"/>
    <mergeCell ref="F251:F257"/>
    <mergeCell ref="E251:E257"/>
    <mergeCell ref="E258:E264"/>
    <mergeCell ref="A230:A236"/>
    <mergeCell ref="B230:B236"/>
    <mergeCell ref="C230:C236"/>
    <mergeCell ref="D230:D236"/>
    <mergeCell ref="G230:G232"/>
    <mergeCell ref="G233:G235"/>
    <mergeCell ref="E230:E236"/>
    <mergeCell ref="E237:E243"/>
    <mergeCell ref="A237:A243"/>
    <mergeCell ref="B237:B243"/>
    <mergeCell ref="C237:C243"/>
    <mergeCell ref="D237:D243"/>
    <mergeCell ref="G237:G239"/>
    <mergeCell ref="D216:D222"/>
    <mergeCell ref="E216:E222"/>
    <mergeCell ref="G216:G218"/>
    <mergeCell ref="G219:G221"/>
    <mergeCell ref="G222:H222"/>
    <mergeCell ref="F216:F222"/>
    <mergeCell ref="A202:A208"/>
    <mergeCell ref="B202:B208"/>
    <mergeCell ref="C202:C208"/>
    <mergeCell ref="D202:D208"/>
    <mergeCell ref="E202:E208"/>
    <mergeCell ref="G202:G204"/>
    <mergeCell ref="G205:G207"/>
    <mergeCell ref="G208:H208"/>
    <mergeCell ref="F202:F208"/>
    <mergeCell ref="D244:D250"/>
    <mergeCell ref="G244:G246"/>
    <mergeCell ref="G247:G249"/>
    <mergeCell ref="G250:H250"/>
    <mergeCell ref="F244:F250"/>
    <mergeCell ref="G236:H236"/>
    <mergeCell ref="F230:F236"/>
    <mergeCell ref="E244:E250"/>
    <mergeCell ref="G240:G242"/>
    <mergeCell ref="G243:H243"/>
    <mergeCell ref="F237:F243"/>
    <mergeCell ref="A244:A250"/>
    <mergeCell ref="B244:B250"/>
    <mergeCell ref="C244:C250"/>
    <mergeCell ref="A209:A215"/>
    <mergeCell ref="B209:B215"/>
    <mergeCell ref="C209:C215"/>
    <mergeCell ref="D209:D215"/>
    <mergeCell ref="E209:E215"/>
    <mergeCell ref="G209:G211"/>
    <mergeCell ref="G212:G214"/>
    <mergeCell ref="G215:H215"/>
    <mergeCell ref="F209:F215"/>
    <mergeCell ref="A223:A229"/>
    <mergeCell ref="B223:B229"/>
    <mergeCell ref="C223:C229"/>
    <mergeCell ref="D223:D229"/>
    <mergeCell ref="E223:E229"/>
    <mergeCell ref="F223:F229"/>
    <mergeCell ref="G223:G225"/>
    <mergeCell ref="G226:G228"/>
    <mergeCell ref="G229:H229"/>
    <mergeCell ref="A216:A222"/>
    <mergeCell ref="B216:B222"/>
    <mergeCell ref="C216:C222"/>
    <mergeCell ref="A195:A201"/>
    <mergeCell ref="B195:B201"/>
    <mergeCell ref="C195:C201"/>
    <mergeCell ref="D195:D201"/>
    <mergeCell ref="E195:E201"/>
    <mergeCell ref="G195:G197"/>
    <mergeCell ref="G198:G200"/>
    <mergeCell ref="G201:H201"/>
    <mergeCell ref="F195:F201"/>
    <mergeCell ref="A181:A187"/>
    <mergeCell ref="B181:B187"/>
    <mergeCell ref="C181:C187"/>
    <mergeCell ref="D181:D187"/>
    <mergeCell ref="E181:E187"/>
    <mergeCell ref="G181:G183"/>
    <mergeCell ref="G184:G186"/>
    <mergeCell ref="G187:H187"/>
    <mergeCell ref="F181:F187"/>
    <mergeCell ref="A174:A180"/>
    <mergeCell ref="B174:B180"/>
    <mergeCell ref="C174:C180"/>
    <mergeCell ref="D174:D180"/>
    <mergeCell ref="E174:E180"/>
    <mergeCell ref="G174:G176"/>
    <mergeCell ref="G177:G179"/>
    <mergeCell ref="G180:H180"/>
    <mergeCell ref="F174:F180"/>
    <mergeCell ref="A167:A173"/>
    <mergeCell ref="B167:B173"/>
    <mergeCell ref="C167:C173"/>
    <mergeCell ref="D167:D173"/>
    <mergeCell ref="E167:E173"/>
    <mergeCell ref="G167:G169"/>
    <mergeCell ref="G170:G172"/>
    <mergeCell ref="G173:H173"/>
    <mergeCell ref="F167:F173"/>
    <mergeCell ref="A160:A166"/>
    <mergeCell ref="B160:B166"/>
    <mergeCell ref="C160:C166"/>
    <mergeCell ref="D160:D166"/>
    <mergeCell ref="E160:E166"/>
    <mergeCell ref="G160:G162"/>
    <mergeCell ref="G163:G165"/>
    <mergeCell ref="G166:H166"/>
    <mergeCell ref="F160:F166"/>
    <mergeCell ref="A153:A159"/>
    <mergeCell ref="B153:B159"/>
    <mergeCell ref="C153:C159"/>
    <mergeCell ref="D153:D159"/>
    <mergeCell ref="E153:E159"/>
    <mergeCell ref="G153:G155"/>
    <mergeCell ref="G156:G158"/>
    <mergeCell ref="G159:H159"/>
    <mergeCell ref="F153:F159"/>
    <mergeCell ref="A146:A152"/>
    <mergeCell ref="B146:B152"/>
    <mergeCell ref="C146:C152"/>
    <mergeCell ref="D146:D152"/>
    <mergeCell ref="E146:E152"/>
    <mergeCell ref="G146:G148"/>
    <mergeCell ref="G149:G151"/>
    <mergeCell ref="G152:H152"/>
    <mergeCell ref="F146:F152"/>
    <mergeCell ref="A132:A138"/>
    <mergeCell ref="B132:B138"/>
    <mergeCell ref="C132:C138"/>
    <mergeCell ref="D132:D138"/>
    <mergeCell ref="A139:A145"/>
    <mergeCell ref="B139:B145"/>
    <mergeCell ref="C139:C145"/>
    <mergeCell ref="D139:D145"/>
    <mergeCell ref="G132:G134"/>
    <mergeCell ref="G135:G137"/>
    <mergeCell ref="G138:H138"/>
    <mergeCell ref="F132:F138"/>
    <mergeCell ref="G139:G141"/>
    <mergeCell ref="G142:G144"/>
    <mergeCell ref="G145:H145"/>
    <mergeCell ref="F139:F145"/>
    <mergeCell ref="E132:E138"/>
    <mergeCell ref="E139:E145"/>
    <mergeCell ref="A125:A131"/>
    <mergeCell ref="B125:B131"/>
    <mergeCell ref="C125:C131"/>
    <mergeCell ref="D125:D131"/>
    <mergeCell ref="E125:E131"/>
    <mergeCell ref="G125:G127"/>
    <mergeCell ref="G128:G130"/>
    <mergeCell ref="G131:H131"/>
    <mergeCell ref="F125:F131"/>
    <mergeCell ref="A118:A124"/>
    <mergeCell ref="B118:B124"/>
    <mergeCell ref="C118:C124"/>
    <mergeCell ref="D118:D124"/>
    <mergeCell ref="E118:E124"/>
    <mergeCell ref="G118:G120"/>
    <mergeCell ref="G121:G123"/>
    <mergeCell ref="G124:H124"/>
    <mergeCell ref="F118:F124"/>
    <mergeCell ref="A111:A117"/>
    <mergeCell ref="B111:B117"/>
    <mergeCell ref="C111:C117"/>
    <mergeCell ref="D111:D117"/>
    <mergeCell ref="E111:E117"/>
    <mergeCell ref="G111:G113"/>
    <mergeCell ref="G114:G116"/>
    <mergeCell ref="G117:H117"/>
    <mergeCell ref="F111:F117"/>
    <mergeCell ref="A104:A110"/>
    <mergeCell ref="B104:B110"/>
    <mergeCell ref="C104:C110"/>
    <mergeCell ref="D104:D110"/>
    <mergeCell ref="E104:E110"/>
    <mergeCell ref="G104:G106"/>
    <mergeCell ref="G107:G109"/>
    <mergeCell ref="G110:H110"/>
    <mergeCell ref="F104:F110"/>
    <mergeCell ref="A97:A103"/>
    <mergeCell ref="B97:B103"/>
    <mergeCell ref="C97:C103"/>
    <mergeCell ref="D97:D103"/>
    <mergeCell ref="E97:E103"/>
    <mergeCell ref="G97:G99"/>
    <mergeCell ref="G100:G102"/>
    <mergeCell ref="G103:H103"/>
    <mergeCell ref="F97:F103"/>
    <mergeCell ref="A90:A96"/>
    <mergeCell ref="B90:B96"/>
    <mergeCell ref="C90:C96"/>
    <mergeCell ref="D90:D96"/>
    <mergeCell ref="E90:E96"/>
    <mergeCell ref="G90:G92"/>
    <mergeCell ref="G93:G95"/>
    <mergeCell ref="G96:H96"/>
    <mergeCell ref="F90:F96"/>
    <mergeCell ref="A83:A89"/>
    <mergeCell ref="B83:B89"/>
    <mergeCell ref="C83:C89"/>
    <mergeCell ref="D83:D89"/>
    <mergeCell ref="E83:E89"/>
    <mergeCell ref="G83:G85"/>
    <mergeCell ref="G86:G88"/>
    <mergeCell ref="G89:H89"/>
    <mergeCell ref="F83:F89"/>
    <mergeCell ref="A76:A82"/>
    <mergeCell ref="B76:B82"/>
    <mergeCell ref="C76:C82"/>
    <mergeCell ref="D76:D82"/>
    <mergeCell ref="E76:E82"/>
    <mergeCell ref="G76:G78"/>
    <mergeCell ref="G79:G81"/>
    <mergeCell ref="G82:H82"/>
    <mergeCell ref="F76:F82"/>
    <mergeCell ref="A69:A75"/>
    <mergeCell ref="B69:B75"/>
    <mergeCell ref="C69:C75"/>
    <mergeCell ref="D69:D75"/>
    <mergeCell ref="E69:E75"/>
    <mergeCell ref="G69:G71"/>
    <mergeCell ref="G72:G74"/>
    <mergeCell ref="G75:H75"/>
    <mergeCell ref="F69:F75"/>
    <mergeCell ref="B55:B61"/>
    <mergeCell ref="C55:C61"/>
    <mergeCell ref="D55:D61"/>
    <mergeCell ref="E55:E61"/>
    <mergeCell ref="G55:G57"/>
    <mergeCell ref="G58:G60"/>
    <mergeCell ref="G61:H61"/>
    <mergeCell ref="F55:F61"/>
    <mergeCell ref="A62:A68"/>
    <mergeCell ref="B62:B68"/>
    <mergeCell ref="C62:C68"/>
    <mergeCell ref="D62:D68"/>
    <mergeCell ref="E62:E68"/>
    <mergeCell ref="G62:G64"/>
    <mergeCell ref="G65:G67"/>
    <mergeCell ref="G68:H68"/>
    <mergeCell ref="F62:F68"/>
    <mergeCell ref="G48:G50"/>
    <mergeCell ref="G51:G53"/>
    <mergeCell ref="G54:H54"/>
    <mergeCell ref="A41:A47"/>
    <mergeCell ref="B41:B47"/>
    <mergeCell ref="C41:C47"/>
    <mergeCell ref="D41:D47"/>
    <mergeCell ref="E41:E47"/>
    <mergeCell ref="G41:G43"/>
    <mergeCell ref="G44:G46"/>
    <mergeCell ref="G47:H47"/>
    <mergeCell ref="F41:F47"/>
    <mergeCell ref="F48:F54"/>
    <mergeCell ref="G34:G36"/>
    <mergeCell ref="G37:G39"/>
    <mergeCell ref="G40:H40"/>
    <mergeCell ref="A27:A33"/>
    <mergeCell ref="B27:B33"/>
    <mergeCell ref="C27:C33"/>
    <mergeCell ref="D27:D33"/>
    <mergeCell ref="E27:E33"/>
    <mergeCell ref="G27:G29"/>
    <mergeCell ref="G30:G32"/>
    <mergeCell ref="G33:H33"/>
    <mergeCell ref="F27:F33"/>
    <mergeCell ref="F34:F40"/>
    <mergeCell ref="A1:C1"/>
    <mergeCell ref="N1:V1"/>
    <mergeCell ref="A2:C2"/>
    <mergeCell ref="O2:W2"/>
    <mergeCell ref="A3:C3"/>
    <mergeCell ref="A6:A12"/>
    <mergeCell ref="B6:B12"/>
    <mergeCell ref="C6:C12"/>
    <mergeCell ref="D6:D12"/>
    <mergeCell ref="A4:A5"/>
    <mergeCell ref="B4:B5"/>
    <mergeCell ref="E6:E12"/>
    <mergeCell ref="G6:G8"/>
    <mergeCell ref="G9:G11"/>
    <mergeCell ref="G12:H12"/>
    <mergeCell ref="F6:F12"/>
    <mergeCell ref="F188:F194"/>
    <mergeCell ref="G188:G190"/>
    <mergeCell ref="G191:G193"/>
    <mergeCell ref="G194:H194"/>
    <mergeCell ref="B13:B19"/>
    <mergeCell ref="C4:C5"/>
    <mergeCell ref="D4:D5"/>
    <mergeCell ref="E4:E5"/>
    <mergeCell ref="G4:G5"/>
    <mergeCell ref="F4:F5"/>
    <mergeCell ref="F20:F26"/>
    <mergeCell ref="C13:C19"/>
    <mergeCell ref="C20:C26"/>
    <mergeCell ref="D20:D26"/>
    <mergeCell ref="E20:E26"/>
    <mergeCell ref="G20:G22"/>
    <mergeCell ref="G23:G25"/>
    <mergeCell ref="G26:H26"/>
    <mergeCell ref="E13:E19"/>
    <mergeCell ref="G13:G15"/>
    <mergeCell ref="G16:G18"/>
    <mergeCell ref="G19:H19"/>
    <mergeCell ref="F13:F19"/>
    <mergeCell ref="B34:B40"/>
    <mergeCell ref="A20:A26"/>
    <mergeCell ref="B20:B26"/>
    <mergeCell ref="A13:A19"/>
    <mergeCell ref="D13:D19"/>
    <mergeCell ref="A265:A271"/>
    <mergeCell ref="B265:B271"/>
    <mergeCell ref="C265:C271"/>
    <mergeCell ref="D265:D271"/>
    <mergeCell ref="E265:E271"/>
    <mergeCell ref="A188:A194"/>
    <mergeCell ref="B188:B194"/>
    <mergeCell ref="C188:C194"/>
    <mergeCell ref="D188:D194"/>
    <mergeCell ref="E188:E194"/>
    <mergeCell ref="A34:A40"/>
    <mergeCell ref="C34:C40"/>
    <mergeCell ref="D34:D40"/>
    <mergeCell ref="E34:E40"/>
    <mergeCell ref="A48:A54"/>
    <mergeCell ref="B48:B54"/>
    <mergeCell ref="C48:C54"/>
    <mergeCell ref="D48:D54"/>
    <mergeCell ref="E48:E54"/>
    <mergeCell ref="A55:A61"/>
    <mergeCell ref="F265:F271"/>
    <mergeCell ref="G265:G267"/>
    <mergeCell ref="G268:G270"/>
    <mergeCell ref="G271:H271"/>
    <mergeCell ref="A272:A278"/>
    <mergeCell ref="B272:B278"/>
    <mergeCell ref="C272:C278"/>
    <mergeCell ref="D272:D278"/>
    <mergeCell ref="E272:E278"/>
    <mergeCell ref="F272:F278"/>
    <mergeCell ref="G272:G274"/>
    <mergeCell ref="G275:G277"/>
    <mergeCell ref="G278:H278"/>
    <mergeCell ref="A279:A285"/>
    <mergeCell ref="B279:B285"/>
    <mergeCell ref="C279:C285"/>
    <mergeCell ref="D279:D285"/>
    <mergeCell ref="E279:E285"/>
    <mergeCell ref="F279:F285"/>
    <mergeCell ref="G279:G281"/>
    <mergeCell ref="G282:G284"/>
    <mergeCell ref="G285:H285"/>
    <mergeCell ref="A286:A292"/>
    <mergeCell ref="B286:B292"/>
    <mergeCell ref="C286:C292"/>
    <mergeCell ref="D286:D292"/>
    <mergeCell ref="E286:E292"/>
    <mergeCell ref="F286:F292"/>
    <mergeCell ref="G286:G288"/>
    <mergeCell ref="G289:G291"/>
    <mergeCell ref="G292:H292"/>
    <mergeCell ref="A293:A299"/>
    <mergeCell ref="B293:B299"/>
    <mergeCell ref="C293:C299"/>
    <mergeCell ref="D293:D299"/>
    <mergeCell ref="E293:E299"/>
    <mergeCell ref="F293:F299"/>
    <mergeCell ref="G293:G295"/>
    <mergeCell ref="G296:G298"/>
    <mergeCell ref="G299:H299"/>
    <mergeCell ref="A300:A306"/>
    <mergeCell ref="B300:B306"/>
    <mergeCell ref="C300:C306"/>
    <mergeCell ref="D300:D306"/>
    <mergeCell ref="E300:E306"/>
    <mergeCell ref="F300:F306"/>
    <mergeCell ref="G300:G302"/>
    <mergeCell ref="G303:G305"/>
    <mergeCell ref="G306:H306"/>
    <mergeCell ref="A307:A313"/>
    <mergeCell ref="B307:B313"/>
    <mergeCell ref="C307:C313"/>
    <mergeCell ref="D307:D313"/>
    <mergeCell ref="E307:E313"/>
    <mergeCell ref="F307:F313"/>
    <mergeCell ref="G307:G309"/>
    <mergeCell ref="G310:G312"/>
    <mergeCell ref="G313:H313"/>
  </mergeCells>
  <pageMargins left="0.7" right="0.7" top="0.75" bottom="0.75" header="0.3" footer="0.3"/>
  <pageSetup paperSize="9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DESTOP DELL</dc:creator>
  <cp:lastModifiedBy>hp</cp:lastModifiedBy>
  <cp:lastPrinted>2025-11-17T11:46:17Z</cp:lastPrinted>
  <dcterms:created xsi:type="dcterms:W3CDTF">2023-01-21T12:14:57Z</dcterms:created>
  <dcterms:modified xsi:type="dcterms:W3CDTF">2026-02-14T00:21:29Z</dcterms:modified>
</cp:coreProperties>
</file>