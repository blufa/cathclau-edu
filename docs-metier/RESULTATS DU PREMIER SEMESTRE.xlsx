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05" yWindow="-105" windowWidth="23250" windowHeight="12720" tabRatio="906" firstSheet="20" activeTab="29"/>
  </bookViews>
  <sheets>
    <sheet name="7ème S1" sheetId="17" r:id="rId1"/>
    <sheet name="7ème S2" sheetId="20" r:id="rId2"/>
    <sheet name="7ème fin" sheetId="21" r:id="rId3"/>
    <sheet name="8ème S1" sheetId="16" r:id="rId4"/>
    <sheet name="8ème S2" sheetId="22" r:id="rId5"/>
    <sheet name="8ème fin" sheetId="23" r:id="rId6"/>
    <sheet name="9ème S1" sheetId="15" r:id="rId7"/>
    <sheet name="9ème S2" sheetId="24" r:id="rId8"/>
    <sheet name="9ème fin" sheetId="25" r:id="rId9"/>
    <sheet name="10ème A S1" sheetId="14" r:id="rId10"/>
    <sheet name="10ème A S2" sheetId="26" r:id="rId11"/>
    <sheet name="7EME B FIN" sheetId="27" r:id="rId12"/>
    <sheet name="10ème B S1" sheetId="19" r:id="rId13"/>
    <sheet name="10ème B S2" sheetId="28" r:id="rId14"/>
    <sheet name="10ème B fin" sheetId="29" r:id="rId15"/>
    <sheet name="11ème SS S1" sheetId="1" r:id="rId16"/>
    <sheet name="11ème SS S2" sheetId="30" r:id="rId17"/>
    <sheet name="11ème SS fin" sheetId="31" r:id="rId18"/>
    <sheet name="11ème SL S1" sheetId="3" r:id="rId19"/>
    <sheet name="11ème SL S2" sheetId="32" r:id="rId20"/>
    <sheet name="11ème SL fin" sheetId="33" r:id="rId21"/>
    <sheet name="12ème SE S1" sheetId="5" r:id="rId22"/>
    <sheet name="12ème SE S2" sheetId="34" r:id="rId23"/>
    <sheet name="12ème SE fin" sheetId="35" r:id="rId24"/>
    <sheet name="12ème SM S1" sheetId="6" r:id="rId25"/>
    <sheet name="12ème SM S2" sheetId="36" r:id="rId26"/>
    <sheet name="12ème SM fin" sheetId="37" r:id="rId27"/>
    <sheet name="12ème SS S1" sheetId="4" r:id="rId28"/>
    <sheet name="12ème SS S2" sheetId="38" r:id="rId29"/>
    <sheet name="12ème SS fin" sheetId="39" r:id="rId30"/>
    <sheet name="7EME B" sheetId="40" r:id="rId31"/>
    <sheet name="T SS" sheetId="7" r:id="rId32"/>
    <sheet name="T SE" sheetId="8" r:id="rId33"/>
    <sheet name="T SM" sheetId="9" r:id="rId34"/>
  </sheets>
  <definedNames>
    <definedName name="_xlnm._FilterDatabase" localSheetId="12" hidden="1">'10ème B S1'!$A$10:$E$67</definedName>
    <definedName name="_xlnm._FilterDatabase" localSheetId="26" hidden="1">'12ème SM fin'!$A$10:$E$13</definedName>
    <definedName name="_xlnm._FilterDatabase" localSheetId="4" hidden="1">'8ème S2'!$A$11:$E$80</definedName>
    <definedName name="_xlnm._FilterDatabase" localSheetId="33" hidden="1">'T SM'!$A$10:$E$29</definedName>
    <definedName name="_xlnm.Print_Titles" localSheetId="9">'10ème A S1'!$10:$10</definedName>
    <definedName name="_xlnm.Print_Titles" localSheetId="18">'11ème SL S1'!$11:$11</definedName>
    <definedName name="_xlnm.Print_Titles" localSheetId="15">'11ème SS S1'!$10:$10</definedName>
    <definedName name="_xlnm.Print_Titles" localSheetId="21">'12ème SE S1'!$10:$10</definedName>
    <definedName name="_xlnm.Print_Titles" localSheetId="24">'12ème SM S1'!$10:$10</definedName>
    <definedName name="_xlnm.Print_Titles" localSheetId="27">'12ème SS S1'!$10:$10</definedName>
    <definedName name="_xlnm.Print_Titles" localSheetId="0">'7ème S1'!$10:$10</definedName>
    <definedName name="_xlnm.Print_Titles" localSheetId="3">'8ème S1'!$11:$12</definedName>
    <definedName name="_xlnm.Print_Titles" localSheetId="6">'9ème S1'!$10:$11</definedName>
    <definedName name="_xlnm.Print_Titles" localSheetId="32">'T SE'!$9:$9</definedName>
    <definedName name="_xlnm.Print_Titles" localSheetId="33">'T SM'!$10:$10</definedName>
    <definedName name="_xlnm.Print_Titles" localSheetId="31">'T SS'!$10:$10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2" i="39" l="1"/>
  <c r="E21" i="39"/>
  <c r="E19" i="39"/>
  <c r="E18" i="39"/>
  <c r="E17" i="39"/>
  <c r="E15" i="39"/>
  <c r="E14" i="39"/>
  <c r="E12" i="39"/>
  <c r="E11" i="39"/>
  <c r="E22" i="38"/>
  <c r="E21" i="38"/>
  <c r="E20" i="38"/>
  <c r="E19" i="38"/>
  <c r="E18" i="38"/>
  <c r="E17" i="38"/>
  <c r="E16" i="38"/>
  <c r="E15" i="38"/>
  <c r="E14" i="38"/>
  <c r="E31" i="39" l="1"/>
  <c r="D31" i="39"/>
  <c r="C31" i="39"/>
  <c r="E28" i="39"/>
  <c r="E27" i="39"/>
  <c r="E11" i="37" l="1"/>
  <c r="E13" i="37"/>
  <c r="E12" i="37"/>
  <c r="E13" i="35"/>
  <c r="E16" i="35"/>
  <c r="E18" i="35"/>
  <c r="E12" i="35"/>
  <c r="E17" i="35"/>
  <c r="E15" i="35"/>
  <c r="E14" i="35"/>
  <c r="E19" i="35"/>
  <c r="E11" i="35"/>
  <c r="E24" i="33"/>
  <c r="E32" i="33"/>
  <c r="E16" i="33"/>
  <c r="E22" i="33"/>
  <c r="E23" i="33"/>
  <c r="E15" i="33"/>
  <c r="E13" i="33"/>
  <c r="E21" i="33"/>
  <c r="E27" i="33"/>
  <c r="E29" i="33"/>
  <c r="E30" i="33"/>
  <c r="E33" i="33"/>
  <c r="E25" i="33"/>
  <c r="E17" i="33"/>
  <c r="E20" i="33"/>
  <c r="E12" i="33"/>
  <c r="E31" i="33"/>
  <c r="E14" i="33"/>
  <c r="E26" i="33"/>
  <c r="E28" i="33"/>
  <c r="E19" i="33"/>
  <c r="E18" i="33"/>
  <c r="E40" i="31"/>
  <c r="E42" i="31"/>
  <c r="E16" i="31"/>
  <c r="E34" i="31"/>
  <c r="E24" i="31"/>
  <c r="E41" i="31"/>
  <c r="E33" i="31"/>
  <c r="E12" i="31"/>
  <c r="E36" i="31"/>
  <c r="E37" i="31"/>
  <c r="E15" i="31"/>
  <c r="E25" i="31"/>
  <c r="E43" i="31"/>
  <c r="E32" i="31"/>
  <c r="E19" i="31"/>
  <c r="E27" i="31"/>
  <c r="E29" i="31"/>
  <c r="E31" i="31"/>
  <c r="E39" i="31"/>
  <c r="E14" i="31"/>
  <c r="E23" i="31"/>
  <c r="E18" i="31"/>
  <c r="E20" i="31"/>
  <c r="E28" i="31"/>
  <c r="E35" i="31"/>
  <c r="E21" i="31"/>
  <c r="E22" i="31"/>
  <c r="E13" i="31"/>
  <c r="E17" i="31"/>
  <c r="E30" i="31"/>
  <c r="E11" i="31"/>
  <c r="E26" i="31"/>
  <c r="E38" i="31"/>
  <c r="D72" i="21" l="1"/>
  <c r="E13" i="27"/>
  <c r="E32" i="27"/>
  <c r="E24" i="27"/>
  <c r="E40" i="27"/>
  <c r="E27" i="27"/>
  <c r="E52" i="27"/>
  <c r="E20" i="27"/>
  <c r="E41" i="27"/>
  <c r="E22" i="27"/>
  <c r="E14" i="27"/>
  <c r="E19" i="27"/>
  <c r="E37" i="27"/>
  <c r="E45" i="27"/>
  <c r="E51" i="27"/>
  <c r="E15" i="27"/>
  <c r="E29" i="27"/>
  <c r="E48" i="27"/>
  <c r="E49" i="27"/>
  <c r="E43" i="27"/>
  <c r="E50" i="27"/>
  <c r="E21" i="27"/>
  <c r="E47" i="27"/>
  <c r="E33" i="27"/>
  <c r="E36" i="27"/>
  <c r="E46" i="27"/>
  <c r="E38" i="27"/>
  <c r="E26" i="27"/>
  <c r="E18" i="27"/>
  <c r="E42" i="27"/>
  <c r="E28" i="27"/>
  <c r="E25" i="27"/>
  <c r="E55" i="27"/>
  <c r="E34" i="27"/>
  <c r="E30" i="27"/>
  <c r="E16" i="27"/>
  <c r="E23" i="27"/>
  <c r="E44" i="27"/>
  <c r="E39" i="27"/>
  <c r="E12" i="27"/>
  <c r="E53" i="27"/>
  <c r="E54" i="27"/>
  <c r="E17" i="27"/>
  <c r="E31" i="27"/>
  <c r="E35" i="27"/>
  <c r="E25" i="25"/>
  <c r="E45" i="25"/>
  <c r="E44" i="25"/>
  <c r="E59" i="25"/>
  <c r="E53" i="25"/>
  <c r="E26" i="25"/>
  <c r="E62" i="25"/>
  <c r="E43" i="25"/>
  <c r="E12" i="25"/>
  <c r="E54" i="25"/>
  <c r="E56" i="25"/>
  <c r="E29" i="25"/>
  <c r="E21" i="25"/>
  <c r="E35" i="25"/>
  <c r="E68" i="25"/>
  <c r="E17" i="25"/>
  <c r="E22" i="25"/>
  <c r="E41" i="25"/>
  <c r="E49" i="25"/>
  <c r="E40" i="25"/>
  <c r="E51" i="25"/>
  <c r="E39" i="25"/>
  <c r="E23" i="25"/>
  <c r="E32" i="25"/>
  <c r="E24" i="25"/>
  <c r="E18" i="25"/>
  <c r="E69" i="25"/>
  <c r="E57" i="25"/>
  <c r="E58" i="25"/>
  <c r="E42" i="25"/>
  <c r="E34" i="25"/>
  <c r="E46" i="25"/>
  <c r="E37" i="25"/>
  <c r="E20" i="25"/>
  <c r="E15" i="25"/>
  <c r="E60" i="25"/>
  <c r="E70" i="25"/>
  <c r="E64" i="25"/>
  <c r="E47" i="25"/>
  <c r="E13" i="25"/>
  <c r="E52" i="25"/>
  <c r="E55" i="25"/>
  <c r="E19" i="25"/>
  <c r="E48" i="25"/>
  <c r="E67" i="25"/>
  <c r="E30" i="25"/>
  <c r="E33" i="25"/>
  <c r="E63" i="25"/>
  <c r="E66" i="25"/>
  <c r="E16" i="25"/>
  <c r="E38" i="25"/>
  <c r="E14" i="25"/>
  <c r="E28" i="25"/>
  <c r="E61" i="25"/>
  <c r="E36" i="25"/>
  <c r="E27" i="25"/>
  <c r="E65" i="25"/>
  <c r="E31" i="25"/>
  <c r="E50" i="25"/>
  <c r="E27" i="23"/>
  <c r="E43" i="23"/>
  <c r="E32" i="23"/>
  <c r="E33" i="23"/>
  <c r="E18" i="23"/>
  <c r="E16" i="23"/>
  <c r="E37" i="23"/>
  <c r="E13" i="23"/>
  <c r="E22" i="23"/>
  <c r="E24" i="23"/>
  <c r="E40" i="23"/>
  <c r="E17" i="23"/>
  <c r="E34" i="23"/>
  <c r="E29" i="23"/>
  <c r="E20" i="23"/>
  <c r="E25" i="23"/>
  <c r="E35" i="23"/>
  <c r="E15" i="23"/>
  <c r="E23" i="23"/>
  <c r="E36" i="23"/>
  <c r="E42" i="23"/>
  <c r="E14" i="23"/>
  <c r="E19" i="23"/>
  <c r="E41" i="23"/>
  <c r="E30" i="23"/>
  <c r="E39" i="23"/>
  <c r="E21" i="23"/>
  <c r="E31" i="23"/>
  <c r="E26" i="23"/>
  <c r="E28" i="23"/>
  <c r="E38" i="23"/>
  <c r="E19" i="21"/>
  <c r="E46" i="21"/>
  <c r="E25" i="21"/>
  <c r="E49" i="21"/>
  <c r="E39" i="21"/>
  <c r="E21" i="21"/>
  <c r="E37" i="21"/>
  <c r="E48" i="21"/>
  <c r="E40" i="21"/>
  <c r="E47" i="21"/>
  <c r="E20" i="21"/>
  <c r="E45" i="21"/>
  <c r="E36" i="21"/>
  <c r="E42" i="21"/>
  <c r="E11" i="21"/>
  <c r="E16" i="21"/>
  <c r="E22" i="21"/>
  <c r="E23" i="21"/>
  <c r="E24" i="21"/>
  <c r="E12" i="21"/>
  <c r="E31" i="21"/>
  <c r="E44" i="21"/>
  <c r="E50" i="21"/>
  <c r="E43" i="21"/>
  <c r="E34" i="21"/>
  <c r="E38" i="21"/>
  <c r="E32" i="21"/>
  <c r="E28" i="21"/>
  <c r="E63" i="21"/>
  <c r="E17" i="21"/>
  <c r="E29" i="21"/>
  <c r="E13" i="21"/>
  <c r="E51" i="21"/>
  <c r="E52" i="21"/>
  <c r="E33" i="21"/>
  <c r="E57" i="21"/>
  <c r="E61" i="21"/>
  <c r="E62" i="21"/>
  <c r="E53" i="21"/>
  <c r="E41" i="21"/>
  <c r="E35" i="21"/>
  <c r="E54" i="21"/>
  <c r="E56" i="21"/>
  <c r="E27" i="21"/>
  <c r="E26" i="21"/>
  <c r="E60" i="21"/>
  <c r="E30" i="21"/>
  <c r="E59" i="21"/>
  <c r="E14" i="21"/>
  <c r="E15" i="21"/>
  <c r="E55" i="21"/>
  <c r="E58" i="21"/>
  <c r="E11" i="20" l="1"/>
  <c r="F52" i="16" l="1"/>
  <c r="E52" i="16"/>
  <c r="D52" i="16"/>
  <c r="F64" i="40"/>
  <c r="E64" i="40"/>
  <c r="D64" i="40"/>
  <c r="D30" i="5"/>
  <c r="E30" i="5"/>
  <c r="E42" i="3"/>
  <c r="D42" i="3"/>
  <c r="F42" i="3"/>
  <c r="E54" i="1"/>
  <c r="D54" i="1"/>
  <c r="F54" i="1"/>
  <c r="E81" i="15"/>
  <c r="D81" i="15"/>
  <c r="F81" i="15" l="1"/>
  <c r="D72" i="17" l="1"/>
  <c r="E72" i="17"/>
  <c r="F72" i="17"/>
  <c r="D24" i="6"/>
  <c r="E24" i="6"/>
  <c r="F24" i="6" l="1"/>
  <c r="E44" i="20" l="1"/>
  <c r="E18" i="21"/>
  <c r="E109" i="20"/>
  <c r="E45" i="22" l="1"/>
  <c r="E73" i="22"/>
  <c r="E72" i="22"/>
  <c r="E34" i="22"/>
  <c r="D92" i="39" l="1"/>
  <c r="C92" i="39"/>
  <c r="E91" i="39"/>
  <c r="E89" i="39"/>
  <c r="E88" i="39"/>
  <c r="E87" i="39"/>
  <c r="E92" i="39" s="1"/>
  <c r="D94" i="38"/>
  <c r="C94" i="38"/>
  <c r="E93" i="38"/>
  <c r="E92" i="38"/>
  <c r="E91" i="38"/>
  <c r="E90" i="38"/>
  <c r="E89" i="38"/>
  <c r="E80" i="38"/>
  <c r="E79" i="38"/>
  <c r="E78" i="38"/>
  <c r="E77" i="38"/>
  <c r="E76" i="38"/>
  <c r="E75" i="38"/>
  <c r="E74" i="38"/>
  <c r="E73" i="38"/>
  <c r="E72" i="38"/>
  <c r="E71" i="38"/>
  <c r="E70" i="38"/>
  <c r="E69" i="38"/>
  <c r="E68" i="38"/>
  <c r="E67" i="38"/>
  <c r="E66" i="38"/>
  <c r="E65" i="38"/>
  <c r="E64" i="38"/>
  <c r="E63" i="38"/>
  <c r="E62" i="38"/>
  <c r="E61" i="38"/>
  <c r="E60" i="38"/>
  <c r="E59" i="38"/>
  <c r="E58" i="38"/>
  <c r="E57" i="38"/>
  <c r="E56" i="38"/>
  <c r="E55" i="38"/>
  <c r="E54" i="38"/>
  <c r="E53" i="38"/>
  <c r="E52" i="38"/>
  <c r="E51" i="38"/>
  <c r="E50" i="38"/>
  <c r="E49" i="38"/>
  <c r="E48" i="38"/>
  <c r="E47" i="38"/>
  <c r="E46" i="38"/>
  <c r="E45" i="38"/>
  <c r="E44" i="38"/>
  <c r="E43" i="38"/>
  <c r="E42" i="38"/>
  <c r="E41" i="38"/>
  <c r="E40" i="38"/>
  <c r="E39" i="38"/>
  <c r="E38" i="38"/>
  <c r="E37" i="38"/>
  <c r="E36" i="38"/>
  <c r="E35" i="38"/>
  <c r="E34" i="38"/>
  <c r="E33" i="38"/>
  <c r="E32" i="38"/>
  <c r="E31" i="38"/>
  <c r="E30" i="38"/>
  <c r="E29" i="38"/>
  <c r="E28" i="38"/>
  <c r="E27" i="38"/>
  <c r="E26" i="38"/>
  <c r="E25" i="38"/>
  <c r="E24" i="38"/>
  <c r="E23" i="38"/>
  <c r="D24" i="37"/>
  <c r="C24" i="37"/>
  <c r="E21" i="37"/>
  <c r="E24" i="37"/>
  <c r="D57" i="36"/>
  <c r="C57" i="36"/>
  <c r="E56" i="36"/>
  <c r="E55" i="36"/>
  <c r="E54" i="36"/>
  <c r="E53" i="36"/>
  <c r="E52" i="36"/>
  <c r="E46" i="36"/>
  <c r="E45" i="36"/>
  <c r="E44" i="36"/>
  <c r="E43" i="36"/>
  <c r="E42" i="36"/>
  <c r="E41" i="36"/>
  <c r="E40" i="36"/>
  <c r="E39" i="36"/>
  <c r="E38" i="36"/>
  <c r="E37" i="36"/>
  <c r="E36" i="36"/>
  <c r="E35" i="36"/>
  <c r="E34" i="36"/>
  <c r="E33" i="36"/>
  <c r="E32" i="36"/>
  <c r="E31" i="36"/>
  <c r="E30" i="36"/>
  <c r="E29" i="36"/>
  <c r="E28" i="36"/>
  <c r="E27" i="36"/>
  <c r="E26" i="36"/>
  <c r="E25" i="36"/>
  <c r="E24" i="36"/>
  <c r="E23" i="36"/>
  <c r="E22" i="36"/>
  <c r="E21" i="36"/>
  <c r="E20" i="36"/>
  <c r="E19" i="36"/>
  <c r="E18" i="36"/>
  <c r="E17" i="36"/>
  <c r="E16" i="36"/>
  <c r="E15" i="36"/>
  <c r="E14" i="36"/>
  <c r="E13" i="36"/>
  <c r="E12" i="36"/>
  <c r="E11" i="36"/>
  <c r="D29" i="35"/>
  <c r="C29" i="35"/>
  <c r="E26" i="35"/>
  <c r="E25" i="35"/>
  <c r="D59" i="34"/>
  <c r="C59" i="34"/>
  <c r="E58" i="34"/>
  <c r="E57" i="34"/>
  <c r="E56" i="34"/>
  <c r="E55" i="34"/>
  <c r="E54" i="34"/>
  <c r="E49" i="34"/>
  <c r="E48" i="34"/>
  <c r="E47" i="34"/>
  <c r="E46" i="34"/>
  <c r="E45" i="34"/>
  <c r="E44" i="34"/>
  <c r="E43" i="34"/>
  <c r="E42" i="34"/>
  <c r="E41" i="34"/>
  <c r="E40" i="34"/>
  <c r="E39" i="34"/>
  <c r="E38" i="34"/>
  <c r="E37" i="34"/>
  <c r="E36" i="34"/>
  <c r="E35" i="34"/>
  <c r="E34" i="34"/>
  <c r="E33" i="34"/>
  <c r="E32" i="34"/>
  <c r="E31" i="34"/>
  <c r="E30" i="34"/>
  <c r="E29" i="34"/>
  <c r="E28" i="34"/>
  <c r="E27" i="34"/>
  <c r="E26" i="34"/>
  <c r="E25" i="34"/>
  <c r="E24" i="34"/>
  <c r="E23" i="34"/>
  <c r="E22" i="34"/>
  <c r="E21" i="34"/>
  <c r="E20" i="34"/>
  <c r="E19" i="34"/>
  <c r="E18" i="34"/>
  <c r="E17" i="34"/>
  <c r="E16" i="34"/>
  <c r="E15" i="34"/>
  <c r="E14" i="34"/>
  <c r="E13" i="34"/>
  <c r="E12" i="34"/>
  <c r="E11" i="34"/>
  <c r="E11" i="29"/>
  <c r="D42" i="33"/>
  <c r="C42" i="33"/>
  <c r="E39" i="33"/>
  <c r="E38" i="33"/>
  <c r="E42" i="33"/>
  <c r="D104" i="32"/>
  <c r="C104" i="32"/>
  <c r="E103" i="32"/>
  <c r="E102" i="32"/>
  <c r="E101" i="32"/>
  <c r="E100" i="32"/>
  <c r="E99" i="32"/>
  <c r="E91" i="32"/>
  <c r="E90" i="32"/>
  <c r="E89" i="32"/>
  <c r="E88" i="32"/>
  <c r="E87" i="32"/>
  <c r="E86" i="32"/>
  <c r="E85" i="32"/>
  <c r="E84" i="32"/>
  <c r="E83" i="32"/>
  <c r="E82" i="32"/>
  <c r="E81" i="32"/>
  <c r="E80" i="32"/>
  <c r="E79" i="32"/>
  <c r="E78" i="32"/>
  <c r="E77" i="32"/>
  <c r="E76" i="32"/>
  <c r="E75" i="32"/>
  <c r="E74" i="32"/>
  <c r="E73" i="32"/>
  <c r="E72" i="32"/>
  <c r="E71" i="32"/>
  <c r="E70" i="32"/>
  <c r="E69" i="32"/>
  <c r="E68" i="32"/>
  <c r="E67" i="32"/>
  <c r="E66" i="32"/>
  <c r="E65" i="32"/>
  <c r="E64" i="32"/>
  <c r="E63" i="32"/>
  <c r="E62" i="32"/>
  <c r="E61" i="32"/>
  <c r="E60" i="32"/>
  <c r="E59" i="32"/>
  <c r="E58" i="32"/>
  <c r="E57" i="32"/>
  <c r="E56" i="32"/>
  <c r="E55" i="32"/>
  <c r="E54" i="32"/>
  <c r="E53" i="32"/>
  <c r="E52" i="32"/>
  <c r="E51" i="32"/>
  <c r="E50" i="32"/>
  <c r="E49" i="32"/>
  <c r="E48" i="32"/>
  <c r="E47" i="32"/>
  <c r="E46" i="32"/>
  <c r="E45" i="32"/>
  <c r="E44" i="32"/>
  <c r="E43" i="32"/>
  <c r="E42" i="32"/>
  <c r="E41" i="32"/>
  <c r="E40" i="32"/>
  <c r="E39" i="32"/>
  <c r="E38" i="32"/>
  <c r="E37" i="32"/>
  <c r="E36" i="32"/>
  <c r="E35" i="32"/>
  <c r="E34" i="32"/>
  <c r="E33" i="32"/>
  <c r="E32" i="32"/>
  <c r="E31" i="32"/>
  <c r="E30" i="32"/>
  <c r="E29" i="32"/>
  <c r="E28" i="32"/>
  <c r="E27" i="32"/>
  <c r="E26" i="32"/>
  <c r="E25" i="32"/>
  <c r="E24" i="32"/>
  <c r="E23" i="32"/>
  <c r="E22" i="32"/>
  <c r="E21" i="32"/>
  <c r="E20" i="32"/>
  <c r="E19" i="32"/>
  <c r="E18" i="32"/>
  <c r="E17" i="32"/>
  <c r="E16" i="32"/>
  <c r="E15" i="32"/>
  <c r="E14" i="32"/>
  <c r="E13" i="32"/>
  <c r="E12" i="32"/>
  <c r="D52" i="31"/>
  <c r="C52" i="31"/>
  <c r="E48" i="31"/>
  <c r="D78" i="30"/>
  <c r="C78" i="30"/>
  <c r="E77" i="30"/>
  <c r="E76" i="30"/>
  <c r="E75" i="30"/>
  <c r="E74" i="30"/>
  <c r="E73" i="30"/>
  <c r="E66" i="30"/>
  <c r="E65" i="30"/>
  <c r="E64" i="30"/>
  <c r="E63" i="30"/>
  <c r="E62" i="30"/>
  <c r="E61" i="30"/>
  <c r="E60" i="30"/>
  <c r="E59" i="30"/>
  <c r="E58" i="30"/>
  <c r="E57" i="30"/>
  <c r="E56" i="30"/>
  <c r="E55" i="30"/>
  <c r="E54" i="30"/>
  <c r="E53" i="30"/>
  <c r="E52" i="30"/>
  <c r="E51" i="30"/>
  <c r="E50" i="30"/>
  <c r="E49" i="30"/>
  <c r="E48" i="30"/>
  <c r="E47" i="30"/>
  <c r="E46" i="30"/>
  <c r="E45" i="30"/>
  <c r="E44" i="30"/>
  <c r="E43" i="30"/>
  <c r="E42" i="30"/>
  <c r="E41" i="30"/>
  <c r="E40" i="30"/>
  <c r="E39" i="30"/>
  <c r="E38" i="30"/>
  <c r="E37" i="30"/>
  <c r="E36" i="30"/>
  <c r="E35" i="30"/>
  <c r="E34" i="30"/>
  <c r="E33" i="30"/>
  <c r="E32" i="30"/>
  <c r="E31" i="30"/>
  <c r="E30" i="30"/>
  <c r="E29" i="30"/>
  <c r="E28" i="30"/>
  <c r="E27" i="30"/>
  <c r="E26" i="30"/>
  <c r="E25" i="30"/>
  <c r="E24" i="30"/>
  <c r="E23" i="30"/>
  <c r="E22" i="30"/>
  <c r="E21" i="30"/>
  <c r="E20" i="30"/>
  <c r="E19" i="30"/>
  <c r="E18" i="30"/>
  <c r="E17" i="30"/>
  <c r="E16" i="30"/>
  <c r="E15" i="30"/>
  <c r="E14" i="30"/>
  <c r="E13" i="30"/>
  <c r="E12" i="30"/>
  <c r="E11" i="30"/>
  <c r="D129" i="29"/>
  <c r="C129" i="29"/>
  <c r="E128" i="29"/>
  <c r="E127" i="29"/>
  <c r="E126" i="29"/>
  <c r="E125" i="29"/>
  <c r="E124" i="29"/>
  <c r="E118" i="29"/>
  <c r="E117" i="29"/>
  <c r="E116" i="29"/>
  <c r="E115" i="29"/>
  <c r="E114" i="29"/>
  <c r="E113" i="29"/>
  <c r="E112" i="29"/>
  <c r="E111" i="29"/>
  <c r="E110" i="29"/>
  <c r="E109" i="29"/>
  <c r="E108" i="29"/>
  <c r="E107" i="29"/>
  <c r="E106" i="29"/>
  <c r="E105" i="29"/>
  <c r="E104" i="29"/>
  <c r="E103" i="29"/>
  <c r="E102" i="29"/>
  <c r="E101" i="29"/>
  <c r="E100" i="29"/>
  <c r="E99" i="29"/>
  <c r="E98" i="29"/>
  <c r="E97" i="29"/>
  <c r="E96" i="29"/>
  <c r="E95" i="29"/>
  <c r="E94" i="29"/>
  <c r="E93" i="29"/>
  <c r="E92" i="29"/>
  <c r="E91" i="29"/>
  <c r="E90" i="29"/>
  <c r="E89" i="29"/>
  <c r="E88" i="29"/>
  <c r="E87" i="29"/>
  <c r="E86" i="29"/>
  <c r="E85" i="29"/>
  <c r="E84" i="29"/>
  <c r="E83" i="29"/>
  <c r="E82" i="29"/>
  <c r="E81" i="29"/>
  <c r="E80" i="29"/>
  <c r="E79" i="29"/>
  <c r="E78" i="29"/>
  <c r="E77" i="29"/>
  <c r="E76" i="29"/>
  <c r="E75" i="29"/>
  <c r="E74" i="29"/>
  <c r="E73" i="29"/>
  <c r="E72" i="29"/>
  <c r="E71" i="29"/>
  <c r="E70" i="29"/>
  <c r="E69" i="29"/>
  <c r="E68" i="29"/>
  <c r="E67" i="29"/>
  <c r="E66" i="29"/>
  <c r="E65" i="29"/>
  <c r="E64" i="29"/>
  <c r="E63" i="29"/>
  <c r="E62" i="29"/>
  <c r="E61" i="29"/>
  <c r="E60" i="29"/>
  <c r="E59" i="29"/>
  <c r="E58" i="29"/>
  <c r="E57" i="29"/>
  <c r="E56" i="29"/>
  <c r="E55" i="29"/>
  <c r="E54" i="29"/>
  <c r="E53" i="29"/>
  <c r="E52" i="29"/>
  <c r="E51" i="29"/>
  <c r="E50" i="29"/>
  <c r="E49" i="29"/>
  <c r="E48" i="29"/>
  <c r="E47" i="29"/>
  <c r="E46" i="29"/>
  <c r="E45" i="29"/>
  <c r="E44" i="29"/>
  <c r="E43" i="29"/>
  <c r="E42" i="29"/>
  <c r="E41" i="29"/>
  <c r="E40" i="29"/>
  <c r="E39" i="29"/>
  <c r="E38" i="29"/>
  <c r="E37" i="29"/>
  <c r="E36" i="29"/>
  <c r="E35" i="29"/>
  <c r="E34" i="29"/>
  <c r="E33" i="29"/>
  <c r="E32" i="29"/>
  <c r="E31" i="29"/>
  <c r="E30" i="29"/>
  <c r="E29" i="29"/>
  <c r="E28" i="29"/>
  <c r="E27" i="29"/>
  <c r="E26" i="29"/>
  <c r="E25" i="29"/>
  <c r="E24" i="29"/>
  <c r="E23" i="29"/>
  <c r="E22" i="29"/>
  <c r="E21" i="29"/>
  <c r="E20" i="29"/>
  <c r="E19" i="29"/>
  <c r="E18" i="29"/>
  <c r="E17" i="29"/>
  <c r="E16" i="29"/>
  <c r="E15" i="29"/>
  <c r="E14" i="29"/>
  <c r="E13" i="29"/>
  <c r="E12" i="29"/>
  <c r="D129" i="28"/>
  <c r="C129" i="28"/>
  <c r="E128" i="28"/>
  <c r="E127" i="28"/>
  <c r="E126" i="28"/>
  <c r="E125" i="28"/>
  <c r="E124" i="28"/>
  <c r="E118" i="28"/>
  <c r="E117" i="28"/>
  <c r="E116" i="28"/>
  <c r="E115" i="28"/>
  <c r="E114" i="28"/>
  <c r="E113" i="28"/>
  <c r="E112" i="28"/>
  <c r="E111" i="28"/>
  <c r="E110" i="28"/>
  <c r="E109" i="28"/>
  <c r="E108" i="28"/>
  <c r="E107" i="28"/>
  <c r="E106" i="28"/>
  <c r="E105" i="28"/>
  <c r="E104" i="28"/>
  <c r="E103" i="28"/>
  <c r="E102" i="28"/>
  <c r="E101" i="28"/>
  <c r="E100" i="28"/>
  <c r="E99" i="28"/>
  <c r="E98" i="28"/>
  <c r="E97" i="28"/>
  <c r="E96" i="28"/>
  <c r="E95" i="28"/>
  <c r="E94" i="28"/>
  <c r="E93" i="28"/>
  <c r="E92" i="28"/>
  <c r="E91" i="28"/>
  <c r="E90" i="28"/>
  <c r="E89" i="28"/>
  <c r="E88" i="28"/>
  <c r="E87" i="28"/>
  <c r="E86" i="28"/>
  <c r="E85" i="28"/>
  <c r="E84" i="28"/>
  <c r="E83" i="28"/>
  <c r="E82" i="28"/>
  <c r="E81" i="28"/>
  <c r="E80" i="28"/>
  <c r="E79" i="28"/>
  <c r="E78" i="28"/>
  <c r="E77" i="28"/>
  <c r="E76" i="28"/>
  <c r="E75" i="28"/>
  <c r="E74" i="28"/>
  <c r="E73" i="28"/>
  <c r="E72" i="28"/>
  <c r="E71" i="28"/>
  <c r="E70" i="28"/>
  <c r="E69" i="28"/>
  <c r="E68" i="28"/>
  <c r="E67" i="28"/>
  <c r="E66" i="28"/>
  <c r="E65" i="28"/>
  <c r="E64" i="28"/>
  <c r="E63" i="28"/>
  <c r="E62" i="28"/>
  <c r="E61" i="28"/>
  <c r="E60" i="28"/>
  <c r="E59" i="28"/>
  <c r="E58" i="28"/>
  <c r="E57" i="28"/>
  <c r="E56" i="28"/>
  <c r="E55" i="28"/>
  <c r="E54" i="28"/>
  <c r="E53" i="28"/>
  <c r="E52" i="28"/>
  <c r="E51" i="28"/>
  <c r="E50" i="28"/>
  <c r="E49" i="28"/>
  <c r="E48" i="28"/>
  <c r="E47" i="28"/>
  <c r="E46" i="28"/>
  <c r="E45" i="28"/>
  <c r="E44" i="28"/>
  <c r="E43" i="28"/>
  <c r="E42" i="28"/>
  <c r="E41" i="28"/>
  <c r="E40" i="28"/>
  <c r="E39" i="28"/>
  <c r="E38" i="28"/>
  <c r="E37" i="28"/>
  <c r="E36" i="28"/>
  <c r="E35" i="28"/>
  <c r="E34" i="28"/>
  <c r="E33" i="28"/>
  <c r="E32" i="28"/>
  <c r="E31" i="28"/>
  <c r="E30" i="28"/>
  <c r="E29" i="28"/>
  <c r="E28" i="28"/>
  <c r="E27" i="28"/>
  <c r="E26" i="28"/>
  <c r="E25" i="28"/>
  <c r="E24" i="28"/>
  <c r="E23" i="28"/>
  <c r="E22" i="28"/>
  <c r="E21" i="28"/>
  <c r="E20" i="28"/>
  <c r="E19" i="28"/>
  <c r="E18" i="28"/>
  <c r="E17" i="28"/>
  <c r="E16" i="28"/>
  <c r="E15" i="28"/>
  <c r="E14" i="28"/>
  <c r="E13" i="28"/>
  <c r="E12" i="28"/>
  <c r="E11" i="28"/>
  <c r="E29" i="35" l="1"/>
  <c r="E129" i="28"/>
  <c r="E104" i="32"/>
  <c r="E78" i="30"/>
  <c r="E59" i="34"/>
  <c r="E57" i="36"/>
  <c r="E94" i="38"/>
  <c r="E52" i="31"/>
  <c r="E129" i="29"/>
  <c r="D64" i="27"/>
  <c r="C64" i="27"/>
  <c r="D118" i="26"/>
  <c r="C118" i="26"/>
  <c r="E117" i="26"/>
  <c r="E116" i="26"/>
  <c r="E115" i="26"/>
  <c r="E114" i="26"/>
  <c r="E113" i="26"/>
  <c r="E109" i="26"/>
  <c r="E108" i="26"/>
  <c r="E107" i="26"/>
  <c r="E106" i="26"/>
  <c r="E105" i="26"/>
  <c r="E104" i="26"/>
  <c r="E103" i="26"/>
  <c r="E102" i="26"/>
  <c r="E101" i="26"/>
  <c r="E100" i="26"/>
  <c r="E99" i="26"/>
  <c r="E98" i="26"/>
  <c r="E97" i="26"/>
  <c r="E96" i="26"/>
  <c r="E95" i="26"/>
  <c r="E94" i="26"/>
  <c r="E93" i="26"/>
  <c r="E92" i="26"/>
  <c r="E91" i="26"/>
  <c r="E90" i="26"/>
  <c r="E89" i="26"/>
  <c r="E88" i="26"/>
  <c r="E87" i="26"/>
  <c r="E86" i="26"/>
  <c r="E85" i="26"/>
  <c r="E84" i="26"/>
  <c r="E83" i="26"/>
  <c r="E82" i="26"/>
  <c r="E81" i="26"/>
  <c r="E80" i="26"/>
  <c r="E79" i="26"/>
  <c r="E78" i="26"/>
  <c r="E77" i="26"/>
  <c r="E76" i="26"/>
  <c r="E75" i="26"/>
  <c r="E74" i="26"/>
  <c r="E73" i="26"/>
  <c r="E72" i="26"/>
  <c r="E71" i="26"/>
  <c r="E70" i="26"/>
  <c r="E69" i="26"/>
  <c r="E68" i="26"/>
  <c r="E67" i="26"/>
  <c r="E66" i="26"/>
  <c r="E65" i="26"/>
  <c r="E64" i="26"/>
  <c r="E63" i="26"/>
  <c r="E62" i="26"/>
  <c r="E61" i="26"/>
  <c r="E60" i="26"/>
  <c r="E59" i="26"/>
  <c r="E58" i="26"/>
  <c r="E57" i="26"/>
  <c r="E56" i="26"/>
  <c r="E55" i="26"/>
  <c r="E54" i="26"/>
  <c r="E53" i="26"/>
  <c r="E52" i="26"/>
  <c r="E51" i="26"/>
  <c r="E50" i="26"/>
  <c r="E49" i="26"/>
  <c r="E48" i="26"/>
  <c r="E47" i="26"/>
  <c r="E46" i="26"/>
  <c r="E45" i="26"/>
  <c r="E44" i="26"/>
  <c r="E43" i="26"/>
  <c r="E42" i="26"/>
  <c r="E41" i="26"/>
  <c r="E40" i="26"/>
  <c r="E39" i="26"/>
  <c r="E38" i="26"/>
  <c r="E37" i="26"/>
  <c r="E36" i="26"/>
  <c r="E35" i="26"/>
  <c r="E34" i="26"/>
  <c r="E33" i="26"/>
  <c r="E32" i="26"/>
  <c r="E31" i="26"/>
  <c r="E30" i="26"/>
  <c r="E29" i="26"/>
  <c r="E28" i="26"/>
  <c r="E27" i="26"/>
  <c r="E26" i="26"/>
  <c r="E25" i="26"/>
  <c r="E24" i="26"/>
  <c r="E23" i="26"/>
  <c r="E22" i="26"/>
  <c r="E21" i="26"/>
  <c r="E20" i="26"/>
  <c r="E19" i="26"/>
  <c r="E18" i="26"/>
  <c r="E17" i="26"/>
  <c r="E16" i="26"/>
  <c r="E15" i="26"/>
  <c r="E14" i="26"/>
  <c r="E13" i="26"/>
  <c r="E12" i="26"/>
  <c r="E11" i="26"/>
  <c r="D80" i="25"/>
  <c r="C80" i="25"/>
  <c r="D118" i="24"/>
  <c r="C118" i="24"/>
  <c r="E117" i="24"/>
  <c r="E116" i="24"/>
  <c r="E115" i="24"/>
  <c r="E114" i="24"/>
  <c r="E113" i="24"/>
  <c r="E84" i="24"/>
  <c r="E81" i="24"/>
  <c r="E19" i="24"/>
  <c r="E58" i="24"/>
  <c r="E56" i="24"/>
  <c r="E39" i="24"/>
  <c r="E79" i="24"/>
  <c r="E41" i="24"/>
  <c r="E105" i="24"/>
  <c r="E15" i="24"/>
  <c r="E49" i="24"/>
  <c r="E20" i="24"/>
  <c r="E18" i="24"/>
  <c r="E74" i="24"/>
  <c r="E26" i="24"/>
  <c r="E102" i="24"/>
  <c r="E94" i="24"/>
  <c r="E97" i="24"/>
  <c r="E101" i="24"/>
  <c r="E82" i="24"/>
  <c r="E24" i="24"/>
  <c r="E77" i="24"/>
  <c r="E22" i="24"/>
  <c r="E85" i="24"/>
  <c r="E75" i="24"/>
  <c r="E48" i="24"/>
  <c r="E43" i="24"/>
  <c r="E57" i="24"/>
  <c r="E96" i="24"/>
  <c r="E73" i="24"/>
  <c r="E100" i="24"/>
  <c r="E86" i="24"/>
  <c r="E68" i="24"/>
  <c r="E80" i="24"/>
  <c r="E12" i="24"/>
  <c r="E78" i="24"/>
  <c r="E104" i="24"/>
  <c r="E66" i="24"/>
  <c r="E23" i="24"/>
  <c r="E21" i="24"/>
  <c r="E95" i="24"/>
  <c r="E31" i="24"/>
  <c r="E87" i="24"/>
  <c r="E53" i="24"/>
  <c r="E52" i="24"/>
  <c r="E69" i="24"/>
  <c r="E13" i="24"/>
  <c r="E16" i="24"/>
  <c r="E93" i="24"/>
  <c r="E54" i="24"/>
  <c r="E17" i="24"/>
  <c r="E32" i="24"/>
  <c r="E51" i="24"/>
  <c r="E25" i="24"/>
  <c r="E59" i="24"/>
  <c r="E29" i="24"/>
  <c r="E71" i="24"/>
  <c r="E103" i="24"/>
  <c r="E36" i="24"/>
  <c r="E35" i="24"/>
  <c r="E47" i="24"/>
  <c r="E62" i="24"/>
  <c r="E45" i="24"/>
  <c r="E42" i="24"/>
  <c r="E72" i="24"/>
  <c r="E38" i="24"/>
  <c r="E34" i="24"/>
  <c r="E40" i="24"/>
  <c r="E37" i="24"/>
  <c r="E64" i="24"/>
  <c r="E83" i="24"/>
  <c r="E76" i="24"/>
  <c r="E44" i="24"/>
  <c r="E88" i="24"/>
  <c r="E14" i="24"/>
  <c r="E90" i="24"/>
  <c r="E63" i="24"/>
  <c r="E70" i="24"/>
  <c r="E65" i="24"/>
  <c r="E46" i="24"/>
  <c r="E60" i="24"/>
  <c r="E91" i="24"/>
  <c r="E50" i="24"/>
  <c r="E61" i="24"/>
  <c r="E67" i="24"/>
  <c r="E28" i="24"/>
  <c r="E33" i="24"/>
  <c r="E98" i="24"/>
  <c r="E55" i="24"/>
  <c r="E106" i="24"/>
  <c r="E99" i="24"/>
  <c r="E30" i="24"/>
  <c r="E92" i="24"/>
  <c r="E89" i="24"/>
  <c r="E27" i="24"/>
  <c r="D53" i="23"/>
  <c r="C53" i="23"/>
  <c r="D93" i="22"/>
  <c r="C93" i="22"/>
  <c r="E92" i="22"/>
  <c r="E91" i="22"/>
  <c r="E90" i="22"/>
  <c r="E89" i="22"/>
  <c r="E88" i="22"/>
  <c r="E80" i="22"/>
  <c r="E74" i="22"/>
  <c r="E77" i="22"/>
  <c r="E76" i="22"/>
  <c r="E78" i="22"/>
  <c r="E79" i="22"/>
  <c r="E71" i="22"/>
  <c r="E67" i="22"/>
  <c r="E75" i="22"/>
  <c r="E61" i="22"/>
  <c r="E66" i="22"/>
  <c r="E53" i="22"/>
  <c r="E70" i="22"/>
  <c r="E62" i="22"/>
  <c r="E58" i="22"/>
  <c r="E68" i="22"/>
  <c r="E69" i="22"/>
  <c r="E47" i="22"/>
  <c r="E63" i="22"/>
  <c r="E65" i="22"/>
  <c r="E56" i="22"/>
  <c r="E36" i="22"/>
  <c r="E52" i="22"/>
  <c r="E55" i="22"/>
  <c r="E57" i="22"/>
  <c r="E60" i="22"/>
  <c r="E59" i="22"/>
  <c r="E50" i="22"/>
  <c r="E48" i="22"/>
  <c r="E33" i="22"/>
  <c r="E35" i="22"/>
  <c r="E64" i="22"/>
  <c r="E40" i="22"/>
  <c r="E51" i="22"/>
  <c r="E54" i="22"/>
  <c r="E42" i="22"/>
  <c r="E49" i="22"/>
  <c r="E41" i="22"/>
  <c r="E43" i="22"/>
  <c r="E31" i="22"/>
  <c r="E46" i="22"/>
  <c r="E39" i="22"/>
  <c r="E21" i="22"/>
  <c r="E37" i="22"/>
  <c r="E38" i="22"/>
  <c r="E25" i="22"/>
  <c r="E30" i="22"/>
  <c r="E24" i="22"/>
  <c r="E22" i="22"/>
  <c r="E44" i="22"/>
  <c r="E32" i="22"/>
  <c r="E28" i="22"/>
  <c r="E26" i="22"/>
  <c r="E29" i="22"/>
  <c r="E20" i="22"/>
  <c r="E18" i="22"/>
  <c r="E23" i="22"/>
  <c r="E27" i="22"/>
  <c r="E15" i="22"/>
  <c r="E19" i="22"/>
  <c r="E17" i="22"/>
  <c r="E16" i="22"/>
  <c r="E14" i="22"/>
  <c r="E13" i="22"/>
  <c r="C72" i="21"/>
  <c r="E69" i="21"/>
  <c r="E68" i="21"/>
  <c r="D119" i="20"/>
  <c r="C119" i="20"/>
  <c r="E118" i="20"/>
  <c r="E117" i="20"/>
  <c r="E116" i="20"/>
  <c r="E115" i="20"/>
  <c r="E114" i="20"/>
  <c r="E77" i="20"/>
  <c r="E73" i="20"/>
  <c r="E110" i="20"/>
  <c r="E104" i="20"/>
  <c r="E103" i="20"/>
  <c r="E99" i="20"/>
  <c r="E94" i="20"/>
  <c r="E92" i="20"/>
  <c r="E106" i="20"/>
  <c r="E96" i="20"/>
  <c r="E100" i="20"/>
  <c r="E87" i="20"/>
  <c r="E93" i="20"/>
  <c r="E105" i="20"/>
  <c r="E85" i="20"/>
  <c r="E80" i="20"/>
  <c r="E91" i="20"/>
  <c r="E90" i="20"/>
  <c r="E88" i="20"/>
  <c r="E108" i="20"/>
  <c r="E83" i="20"/>
  <c r="E74" i="20"/>
  <c r="E102" i="20"/>
  <c r="E97" i="20"/>
  <c r="E107" i="20"/>
  <c r="E89" i="20"/>
  <c r="E51" i="20"/>
  <c r="E37" i="20"/>
  <c r="E79" i="20"/>
  <c r="E95" i="20"/>
  <c r="E84" i="20"/>
  <c r="E81" i="20"/>
  <c r="E76" i="20"/>
  <c r="E71" i="20"/>
  <c r="E86" i="20"/>
  <c r="E50" i="20"/>
  <c r="E40" i="20"/>
  <c r="E72" i="20"/>
  <c r="E57" i="20"/>
  <c r="E62" i="20"/>
  <c r="E38" i="20"/>
  <c r="E78" i="20"/>
  <c r="E98" i="20"/>
  <c r="E54" i="20"/>
  <c r="E70" i="20"/>
  <c r="E56" i="20"/>
  <c r="E82" i="20"/>
  <c r="E67" i="20"/>
  <c r="E52" i="20"/>
  <c r="E58" i="20"/>
  <c r="E64" i="20"/>
  <c r="E55" i="20"/>
  <c r="E66" i="20"/>
  <c r="E27" i="20"/>
  <c r="E19" i="20"/>
  <c r="E47" i="20"/>
  <c r="E39" i="20"/>
  <c r="E68" i="20"/>
  <c r="E60" i="20"/>
  <c r="E59" i="20"/>
  <c r="E65" i="20"/>
  <c r="E69" i="20"/>
  <c r="E61" i="20"/>
  <c r="E75" i="20"/>
  <c r="E31" i="20"/>
  <c r="E34" i="20"/>
  <c r="E46" i="20"/>
  <c r="E63" i="20"/>
  <c r="E45" i="20"/>
  <c r="E53" i="20"/>
  <c r="E24" i="20"/>
  <c r="E49" i="20"/>
  <c r="E35" i="20"/>
  <c r="E32" i="20"/>
  <c r="E25" i="20"/>
  <c r="E36" i="20"/>
  <c r="E41" i="20"/>
  <c r="E22" i="20"/>
  <c r="E101" i="20"/>
  <c r="E43" i="20"/>
  <c r="E30" i="20"/>
  <c r="E26" i="20"/>
  <c r="E20" i="20"/>
  <c r="E17" i="20"/>
  <c r="E28" i="20"/>
  <c r="E29" i="20"/>
  <c r="E48" i="20"/>
  <c r="E23" i="20"/>
  <c r="E12" i="20"/>
  <c r="E42" i="20"/>
  <c r="E33" i="20"/>
  <c r="E13" i="20"/>
  <c r="E16" i="20"/>
  <c r="E18" i="20"/>
  <c r="E14" i="20"/>
  <c r="E15" i="20"/>
  <c r="E21" i="20"/>
  <c r="E72" i="21" l="1"/>
  <c r="E64" i="27"/>
  <c r="E119" i="20"/>
  <c r="E118" i="24"/>
  <c r="E118" i="26"/>
  <c r="E80" i="25"/>
  <c r="E53" i="23"/>
  <c r="E93" i="22"/>
  <c r="E40" i="9" l="1"/>
  <c r="D40" i="9"/>
  <c r="D59" i="8"/>
  <c r="C59" i="8"/>
  <c r="E47" i="7"/>
  <c r="D47" i="7"/>
  <c r="D29" i="4"/>
  <c r="C29" i="4"/>
  <c r="F47" i="7" l="1"/>
  <c r="E59" i="8"/>
  <c r="F40" i="9"/>
  <c r="E29" i="4"/>
  <c r="F30" i="5"/>
  <c r="E77" i="19"/>
  <c r="D77" i="19"/>
  <c r="E76" i="14"/>
  <c r="D76" i="14"/>
  <c r="F76" i="14" l="1"/>
  <c r="F77" i="19"/>
</calcChain>
</file>

<file path=xl/sharedStrings.xml><?xml version="1.0" encoding="utf-8"?>
<sst xmlns="http://schemas.openxmlformats.org/spreadsheetml/2006/main" count="3365" uniqueCount="1241">
  <si>
    <t>PRENOMS ET NOM</t>
  </si>
  <si>
    <t>IRE: KINDIA</t>
  </si>
  <si>
    <t>DPE: COYAH</t>
  </si>
  <si>
    <t>DSEE: COMMUNE URBAINE</t>
  </si>
  <si>
    <t>GROUP.SCO: MOH-CA</t>
  </si>
  <si>
    <t>REPUBLIQUE DE GUINEE</t>
  </si>
  <si>
    <t>Travail-Justice-Solidarité</t>
  </si>
  <si>
    <t>Ibrahima Sory SYLLA</t>
  </si>
  <si>
    <t>M. TOURE Aguibou</t>
  </si>
  <si>
    <t>Mamaissata SYLLA</t>
  </si>
  <si>
    <t>Jean KPAMY</t>
  </si>
  <si>
    <t>Aminata Moussa CAMARA</t>
  </si>
  <si>
    <t>M'Balia Wad BANGOURA</t>
  </si>
  <si>
    <t>Aminata TOURE</t>
  </si>
  <si>
    <t>Aissatou KEITA</t>
  </si>
  <si>
    <t>Alhassane Lamine SOUMAH</t>
  </si>
  <si>
    <t>Aboubacar DRAME</t>
  </si>
  <si>
    <t>Djénab Lansana SYLLA</t>
  </si>
  <si>
    <t>Fatoumata Amadou BANGOURA</t>
  </si>
  <si>
    <t>Fatoumata Dady CAMARA</t>
  </si>
  <si>
    <t>M'Mahawa BANGOURA</t>
  </si>
  <si>
    <t>Pascaline CAMARA</t>
  </si>
  <si>
    <t>Saran CONDE</t>
  </si>
  <si>
    <t>Facinet BANGOURA</t>
  </si>
  <si>
    <t>Lamine MANSARE</t>
  </si>
  <si>
    <t>M'Mah Kaba MAGASSOUBA</t>
  </si>
  <si>
    <t>Mohamed SOUMAH</t>
  </si>
  <si>
    <t>Djénab BARRY</t>
  </si>
  <si>
    <t>Fodé TOURE</t>
  </si>
  <si>
    <t>Aissata DIABY</t>
  </si>
  <si>
    <t>Alhassane CAMARA</t>
  </si>
  <si>
    <t>Agnès MONEMOU</t>
  </si>
  <si>
    <t>Alsény N'fanly BANGOURA</t>
  </si>
  <si>
    <t>Amadou DIALLO</t>
  </si>
  <si>
    <t>Angéline Sia Hawa MILLIMONO</t>
  </si>
  <si>
    <t>Aminata SYLLA</t>
  </si>
  <si>
    <t>Abdoulaye DIAKITE</t>
  </si>
  <si>
    <t>Bangaly DIALLO</t>
  </si>
  <si>
    <t>Boubacar  BARRY</t>
  </si>
  <si>
    <t>Djénab CISSE</t>
  </si>
  <si>
    <t>Fanta DIABY</t>
  </si>
  <si>
    <t>Fanta SAVANE</t>
  </si>
  <si>
    <t>Fatoumata Diaraye  SALL</t>
  </si>
  <si>
    <t>Fanta Ousmane TOURE</t>
  </si>
  <si>
    <t>Fatoumata CAMARA</t>
  </si>
  <si>
    <t>Finda Victorine TOLNO</t>
  </si>
  <si>
    <t>Fatoumata Diaraye  BARRY</t>
  </si>
  <si>
    <t>Fatoumata Alsény SYLLA</t>
  </si>
  <si>
    <t>Fatoumata  BANGOURA</t>
  </si>
  <si>
    <t>Félix TEINGUIANO</t>
  </si>
  <si>
    <t>Gnalén CISSE</t>
  </si>
  <si>
    <t>Germaine Faya MILLIMONO</t>
  </si>
  <si>
    <t>Hawa SALL</t>
  </si>
  <si>
    <t>Hana  LUCAS</t>
  </si>
  <si>
    <t>Ibrahima  SOW</t>
  </si>
  <si>
    <t>Ibrahima  Sory KEITA</t>
  </si>
  <si>
    <t>Ismael  BANGOURA</t>
  </si>
  <si>
    <t>Ivone  LAMAH</t>
  </si>
  <si>
    <t>Issiaga  BANGOURA</t>
  </si>
  <si>
    <t>Lamine Louis KAMANO</t>
  </si>
  <si>
    <t>Mohamed Assiatou SYLLA</t>
  </si>
  <si>
    <t>Modia DIALLO</t>
  </si>
  <si>
    <t>Fatoumata Mamadou CISSE</t>
  </si>
  <si>
    <t>Mariama Ciré DIABY</t>
  </si>
  <si>
    <t>Mamadou Ciré Sadjo SALL</t>
  </si>
  <si>
    <t>Mohamed Kadé TOURE</t>
  </si>
  <si>
    <t>Mohamed 1 DIABY</t>
  </si>
  <si>
    <t>Mamoudou TOURE</t>
  </si>
  <si>
    <t>Mabinty CAMARA</t>
  </si>
  <si>
    <t>Mohamed Kalil SYLLA</t>
  </si>
  <si>
    <t>Mamadie CAMARA</t>
  </si>
  <si>
    <t>Mohamed 2 DIABY</t>
  </si>
  <si>
    <t>N'nady  SOUMAH</t>
  </si>
  <si>
    <t>Nangnouma  KONATE</t>
  </si>
  <si>
    <t>N'Famoussa CAMARA</t>
  </si>
  <si>
    <t>Bountouraby  SYLLA</t>
  </si>
  <si>
    <t>Oumou Kouloutoumy Kora DIALLO</t>
  </si>
  <si>
    <t>Ousmane Tabara BALDE</t>
  </si>
  <si>
    <t>Raynatou  CAMARA</t>
  </si>
  <si>
    <t>Rosaline  THOMAS</t>
  </si>
  <si>
    <t>Saa  Joseph  TONGUINO</t>
  </si>
  <si>
    <t>Therèse  KAMAN</t>
  </si>
  <si>
    <t>Therèse  SANDY</t>
  </si>
  <si>
    <t>Tidiane  SOUMAH</t>
  </si>
  <si>
    <t>Thierno Sanou  CAMARA</t>
  </si>
  <si>
    <t>Youssouf  TOURE</t>
  </si>
  <si>
    <t>Yassa KOIVOGUI</t>
  </si>
  <si>
    <t>Kadjaliou  BAH</t>
  </si>
  <si>
    <t>Fatoumata  TOURE</t>
  </si>
  <si>
    <t>Alsény  SOUMAH</t>
  </si>
  <si>
    <t>Fatoumata Diaraye  DIALLO</t>
  </si>
  <si>
    <t>Salématou  SYLLA</t>
  </si>
  <si>
    <t>Oumou  BAH</t>
  </si>
  <si>
    <t>Mamadou  KEITA</t>
  </si>
  <si>
    <t>Amadou CAMARA</t>
  </si>
  <si>
    <t>Yanka  CAMARA</t>
  </si>
  <si>
    <t>Madélèine  MARA</t>
  </si>
  <si>
    <t>Mohamed  SYLLA</t>
  </si>
  <si>
    <t>Fanta Démba CISSE</t>
  </si>
  <si>
    <t>Mamadou Saliou DONZO</t>
  </si>
  <si>
    <t>Younoussa  SALL</t>
  </si>
  <si>
    <t>M'Mah  CAMARA</t>
  </si>
  <si>
    <t>Ansoumane  CAMARA</t>
  </si>
  <si>
    <t>Theirno Madjiou BARRY</t>
  </si>
  <si>
    <t>Issa BANGOURA</t>
  </si>
  <si>
    <t>Safiatou  FOFANA</t>
  </si>
  <si>
    <t>Rang</t>
  </si>
  <si>
    <r>
      <t>CLASSE: 8</t>
    </r>
    <r>
      <rPr>
        <b/>
        <vertAlign val="superscript"/>
        <sz val="11"/>
        <color indexed="8"/>
        <rFont val="Arial Narrow"/>
        <family val="2"/>
      </rPr>
      <t>ème</t>
    </r>
    <r>
      <rPr>
        <b/>
        <sz val="11"/>
        <color indexed="8"/>
        <rFont val="Arial Narrow"/>
        <family val="2"/>
      </rPr>
      <t xml:space="preserve"> ANNEE</t>
    </r>
  </si>
  <si>
    <t xml:space="preserve">REPUBLIQUE DE GUINEE </t>
  </si>
  <si>
    <r>
      <t>CLASSE: 9</t>
    </r>
    <r>
      <rPr>
        <b/>
        <vertAlign val="superscript"/>
        <sz val="11"/>
        <color indexed="8"/>
        <rFont val="Arial Narrow"/>
        <family val="2"/>
      </rPr>
      <t>ème</t>
    </r>
    <r>
      <rPr>
        <b/>
        <sz val="11"/>
        <color indexed="8"/>
        <rFont val="Arial Narrow"/>
        <family val="2"/>
      </rPr>
      <t xml:space="preserve"> ANNEE</t>
    </r>
  </si>
  <si>
    <t>1er</t>
  </si>
  <si>
    <r>
      <t>2</t>
    </r>
    <r>
      <rPr>
        <i/>
        <vertAlign val="superscript"/>
        <sz val="11"/>
        <color theme="1"/>
        <rFont val="Arial Narrow"/>
        <family val="2"/>
      </rPr>
      <t>ème</t>
    </r>
  </si>
  <si>
    <r>
      <t>3</t>
    </r>
    <r>
      <rPr>
        <i/>
        <vertAlign val="superscript"/>
        <sz val="11"/>
        <color theme="1"/>
        <rFont val="Arial Narrow"/>
        <family val="2"/>
      </rPr>
      <t>ème</t>
    </r>
  </si>
  <si>
    <r>
      <t>4</t>
    </r>
    <r>
      <rPr>
        <i/>
        <vertAlign val="superscript"/>
        <sz val="11"/>
        <color theme="1"/>
        <rFont val="Arial Narrow"/>
        <family val="2"/>
      </rPr>
      <t>ème</t>
    </r>
  </si>
  <si>
    <r>
      <t>5</t>
    </r>
    <r>
      <rPr>
        <i/>
        <vertAlign val="superscript"/>
        <sz val="11"/>
        <color theme="1"/>
        <rFont val="Arial Narrow"/>
        <family val="2"/>
      </rPr>
      <t>ème</t>
    </r>
  </si>
  <si>
    <r>
      <t>6</t>
    </r>
    <r>
      <rPr>
        <i/>
        <vertAlign val="superscript"/>
        <sz val="11"/>
        <color theme="1"/>
        <rFont val="Arial Narrow"/>
        <family val="2"/>
      </rPr>
      <t>ème</t>
    </r>
  </si>
  <si>
    <r>
      <t>7</t>
    </r>
    <r>
      <rPr>
        <i/>
        <vertAlign val="superscript"/>
        <sz val="11"/>
        <color theme="1"/>
        <rFont val="Arial Narrow"/>
        <family val="2"/>
      </rPr>
      <t>ème</t>
    </r>
  </si>
  <si>
    <r>
      <t>8</t>
    </r>
    <r>
      <rPr>
        <i/>
        <vertAlign val="superscript"/>
        <sz val="11"/>
        <color theme="1"/>
        <rFont val="Arial Narrow"/>
        <family val="2"/>
      </rPr>
      <t>ème</t>
    </r>
  </si>
  <si>
    <r>
      <t>9</t>
    </r>
    <r>
      <rPr>
        <i/>
        <vertAlign val="superscript"/>
        <sz val="11"/>
        <color theme="1"/>
        <rFont val="Arial Narrow"/>
        <family val="2"/>
      </rPr>
      <t>ème</t>
    </r>
  </si>
  <si>
    <r>
      <t>10</t>
    </r>
    <r>
      <rPr>
        <i/>
        <vertAlign val="superscript"/>
        <sz val="11"/>
        <color theme="1"/>
        <rFont val="Arial Narrow"/>
        <family val="2"/>
      </rPr>
      <t>ème</t>
    </r>
  </si>
  <si>
    <r>
      <t>11</t>
    </r>
    <r>
      <rPr>
        <i/>
        <vertAlign val="superscript"/>
        <sz val="11"/>
        <color theme="1"/>
        <rFont val="Arial Narrow"/>
        <family val="2"/>
      </rPr>
      <t>ème</t>
    </r>
  </si>
  <si>
    <r>
      <t>12</t>
    </r>
    <r>
      <rPr>
        <i/>
        <vertAlign val="superscript"/>
        <sz val="11"/>
        <color theme="1"/>
        <rFont val="Arial Narrow"/>
        <family val="2"/>
      </rPr>
      <t>ème</t>
    </r>
  </si>
  <si>
    <r>
      <t>13</t>
    </r>
    <r>
      <rPr>
        <i/>
        <vertAlign val="superscript"/>
        <sz val="11"/>
        <color theme="1"/>
        <rFont val="Arial Narrow"/>
        <family val="2"/>
      </rPr>
      <t>ème</t>
    </r>
  </si>
  <si>
    <r>
      <t>14</t>
    </r>
    <r>
      <rPr>
        <i/>
        <vertAlign val="superscript"/>
        <sz val="11"/>
        <color theme="1"/>
        <rFont val="Arial Narrow"/>
        <family val="2"/>
      </rPr>
      <t>ème</t>
    </r>
  </si>
  <si>
    <r>
      <t>15</t>
    </r>
    <r>
      <rPr>
        <i/>
        <vertAlign val="superscript"/>
        <sz val="11"/>
        <color theme="1"/>
        <rFont val="Arial Narrow"/>
        <family val="2"/>
      </rPr>
      <t>ème</t>
    </r>
  </si>
  <si>
    <r>
      <t>16</t>
    </r>
    <r>
      <rPr>
        <i/>
        <vertAlign val="superscript"/>
        <sz val="11"/>
        <color theme="1"/>
        <rFont val="Arial Narrow"/>
        <family val="2"/>
      </rPr>
      <t>ème</t>
    </r>
  </si>
  <si>
    <r>
      <t>17</t>
    </r>
    <r>
      <rPr>
        <i/>
        <vertAlign val="superscript"/>
        <sz val="11"/>
        <color theme="1"/>
        <rFont val="Arial Narrow"/>
        <family val="2"/>
      </rPr>
      <t>ème</t>
    </r>
  </si>
  <si>
    <r>
      <t>18</t>
    </r>
    <r>
      <rPr>
        <i/>
        <vertAlign val="superscript"/>
        <sz val="11"/>
        <color theme="1"/>
        <rFont val="Arial Narrow"/>
        <family val="2"/>
      </rPr>
      <t>ème</t>
    </r>
  </si>
  <si>
    <r>
      <t>19</t>
    </r>
    <r>
      <rPr>
        <i/>
        <vertAlign val="superscript"/>
        <sz val="11"/>
        <color theme="1"/>
        <rFont val="Arial Narrow"/>
        <family val="2"/>
      </rPr>
      <t>ème</t>
    </r>
  </si>
  <si>
    <r>
      <t>20</t>
    </r>
    <r>
      <rPr>
        <i/>
        <vertAlign val="superscript"/>
        <sz val="11"/>
        <color theme="1"/>
        <rFont val="Arial Narrow"/>
        <family val="2"/>
      </rPr>
      <t>ème</t>
    </r>
  </si>
  <si>
    <r>
      <t>21er</t>
    </r>
    <r>
      <rPr>
        <i/>
        <vertAlign val="superscript"/>
        <sz val="11"/>
        <color theme="1"/>
        <rFont val="Arial Narrow"/>
        <family val="2"/>
      </rPr>
      <t/>
    </r>
  </si>
  <si>
    <r>
      <t>22</t>
    </r>
    <r>
      <rPr>
        <i/>
        <vertAlign val="superscript"/>
        <sz val="11"/>
        <color theme="1"/>
        <rFont val="Arial Narrow"/>
        <family val="2"/>
      </rPr>
      <t>ème</t>
    </r>
  </si>
  <si>
    <r>
      <t>23</t>
    </r>
    <r>
      <rPr>
        <i/>
        <vertAlign val="superscript"/>
        <sz val="11"/>
        <color theme="1"/>
        <rFont val="Arial Narrow"/>
        <family val="2"/>
      </rPr>
      <t>ème</t>
    </r>
  </si>
  <si>
    <r>
      <t>24</t>
    </r>
    <r>
      <rPr>
        <i/>
        <vertAlign val="superscript"/>
        <sz val="11"/>
        <color theme="1"/>
        <rFont val="Arial Narrow"/>
        <family val="2"/>
      </rPr>
      <t>ème</t>
    </r>
  </si>
  <si>
    <r>
      <t>25</t>
    </r>
    <r>
      <rPr>
        <i/>
        <vertAlign val="superscript"/>
        <sz val="11"/>
        <color theme="1"/>
        <rFont val="Arial Narrow"/>
        <family val="2"/>
      </rPr>
      <t>ème</t>
    </r>
  </si>
  <si>
    <r>
      <t>26</t>
    </r>
    <r>
      <rPr>
        <i/>
        <vertAlign val="superscript"/>
        <sz val="11"/>
        <color theme="1"/>
        <rFont val="Arial Narrow"/>
        <family val="2"/>
      </rPr>
      <t>ème</t>
    </r>
  </si>
  <si>
    <r>
      <t>27</t>
    </r>
    <r>
      <rPr>
        <i/>
        <vertAlign val="superscript"/>
        <sz val="11"/>
        <color theme="1"/>
        <rFont val="Arial Narrow"/>
        <family val="2"/>
      </rPr>
      <t>ème</t>
    </r>
  </si>
  <si>
    <r>
      <t>28</t>
    </r>
    <r>
      <rPr>
        <i/>
        <vertAlign val="superscript"/>
        <sz val="11"/>
        <color theme="1"/>
        <rFont val="Arial Narrow"/>
        <family val="2"/>
      </rPr>
      <t>ème</t>
    </r>
  </si>
  <si>
    <r>
      <t>29</t>
    </r>
    <r>
      <rPr>
        <i/>
        <vertAlign val="superscript"/>
        <sz val="11"/>
        <color theme="1"/>
        <rFont val="Arial Narrow"/>
        <family val="2"/>
      </rPr>
      <t>ème</t>
    </r>
  </si>
  <si>
    <r>
      <t>30</t>
    </r>
    <r>
      <rPr>
        <i/>
        <vertAlign val="superscript"/>
        <sz val="11"/>
        <color theme="1"/>
        <rFont val="Arial Narrow"/>
        <family val="2"/>
      </rPr>
      <t>ème</t>
    </r>
  </si>
  <si>
    <r>
      <t>31er</t>
    </r>
    <r>
      <rPr>
        <i/>
        <vertAlign val="superscript"/>
        <sz val="11"/>
        <color theme="1"/>
        <rFont val="Arial Narrow"/>
        <family val="2"/>
      </rPr>
      <t/>
    </r>
  </si>
  <si>
    <r>
      <t>32</t>
    </r>
    <r>
      <rPr>
        <i/>
        <vertAlign val="superscript"/>
        <sz val="11"/>
        <color theme="1"/>
        <rFont val="Arial Narrow"/>
        <family val="2"/>
      </rPr>
      <t>ème</t>
    </r>
  </si>
  <si>
    <r>
      <t>33</t>
    </r>
    <r>
      <rPr>
        <i/>
        <vertAlign val="superscript"/>
        <sz val="11"/>
        <color theme="1"/>
        <rFont val="Arial Narrow"/>
        <family val="2"/>
      </rPr>
      <t>ème</t>
    </r>
  </si>
  <si>
    <r>
      <t>34</t>
    </r>
    <r>
      <rPr>
        <i/>
        <vertAlign val="superscript"/>
        <sz val="11"/>
        <color theme="1"/>
        <rFont val="Arial Narrow"/>
        <family val="2"/>
      </rPr>
      <t>ème</t>
    </r>
  </si>
  <si>
    <r>
      <t>35</t>
    </r>
    <r>
      <rPr>
        <i/>
        <vertAlign val="superscript"/>
        <sz val="11"/>
        <color theme="1"/>
        <rFont val="Arial Narrow"/>
        <family val="2"/>
      </rPr>
      <t>ème</t>
    </r>
  </si>
  <si>
    <r>
      <t>36</t>
    </r>
    <r>
      <rPr>
        <i/>
        <vertAlign val="superscript"/>
        <sz val="11"/>
        <color theme="1"/>
        <rFont val="Arial Narrow"/>
        <family val="2"/>
      </rPr>
      <t>ème</t>
    </r>
  </si>
  <si>
    <r>
      <t>37</t>
    </r>
    <r>
      <rPr>
        <i/>
        <vertAlign val="superscript"/>
        <sz val="11"/>
        <color theme="1"/>
        <rFont val="Arial Narrow"/>
        <family val="2"/>
      </rPr>
      <t>ème</t>
    </r>
  </si>
  <si>
    <r>
      <t>38</t>
    </r>
    <r>
      <rPr>
        <i/>
        <vertAlign val="superscript"/>
        <sz val="11"/>
        <color theme="1"/>
        <rFont val="Arial Narrow"/>
        <family val="2"/>
      </rPr>
      <t>ème</t>
    </r>
  </si>
  <si>
    <r>
      <t>39</t>
    </r>
    <r>
      <rPr>
        <i/>
        <vertAlign val="superscript"/>
        <sz val="11"/>
        <color theme="1"/>
        <rFont val="Arial Narrow"/>
        <family val="2"/>
      </rPr>
      <t>ème</t>
    </r>
  </si>
  <si>
    <r>
      <t>40</t>
    </r>
    <r>
      <rPr>
        <i/>
        <vertAlign val="superscript"/>
        <sz val="11"/>
        <color theme="1"/>
        <rFont val="Arial Narrow"/>
        <family val="2"/>
      </rPr>
      <t>ème</t>
    </r>
  </si>
  <si>
    <r>
      <t>41er</t>
    </r>
    <r>
      <rPr>
        <i/>
        <vertAlign val="superscript"/>
        <sz val="11"/>
        <color theme="1"/>
        <rFont val="Arial Narrow"/>
        <family val="2"/>
      </rPr>
      <t/>
    </r>
  </si>
  <si>
    <r>
      <t>42</t>
    </r>
    <r>
      <rPr>
        <i/>
        <vertAlign val="superscript"/>
        <sz val="11"/>
        <color theme="1"/>
        <rFont val="Arial Narrow"/>
        <family val="2"/>
      </rPr>
      <t>ème</t>
    </r>
  </si>
  <si>
    <r>
      <t>43</t>
    </r>
    <r>
      <rPr>
        <i/>
        <vertAlign val="superscript"/>
        <sz val="11"/>
        <color theme="1"/>
        <rFont val="Arial Narrow"/>
        <family val="2"/>
      </rPr>
      <t>ème</t>
    </r>
  </si>
  <si>
    <r>
      <t>44</t>
    </r>
    <r>
      <rPr>
        <i/>
        <vertAlign val="superscript"/>
        <sz val="11"/>
        <color theme="1"/>
        <rFont val="Arial Narrow"/>
        <family val="2"/>
      </rPr>
      <t>ème</t>
    </r>
  </si>
  <si>
    <r>
      <t>45</t>
    </r>
    <r>
      <rPr>
        <i/>
        <vertAlign val="superscript"/>
        <sz val="11"/>
        <color theme="1"/>
        <rFont val="Arial Narrow"/>
        <family val="2"/>
      </rPr>
      <t>ème</t>
    </r>
  </si>
  <si>
    <r>
      <t>46</t>
    </r>
    <r>
      <rPr>
        <i/>
        <vertAlign val="superscript"/>
        <sz val="11"/>
        <color theme="1"/>
        <rFont val="Arial Narrow"/>
        <family val="2"/>
      </rPr>
      <t>ème</t>
    </r>
  </si>
  <si>
    <r>
      <t>47</t>
    </r>
    <r>
      <rPr>
        <i/>
        <vertAlign val="superscript"/>
        <sz val="11"/>
        <color theme="1"/>
        <rFont val="Arial Narrow"/>
        <family val="2"/>
      </rPr>
      <t>ème</t>
    </r>
  </si>
  <si>
    <r>
      <t>48</t>
    </r>
    <r>
      <rPr>
        <i/>
        <vertAlign val="superscript"/>
        <sz val="11"/>
        <color theme="1"/>
        <rFont val="Arial Narrow"/>
        <family val="2"/>
      </rPr>
      <t>ème</t>
    </r>
  </si>
  <si>
    <r>
      <t>49</t>
    </r>
    <r>
      <rPr>
        <i/>
        <vertAlign val="superscript"/>
        <sz val="11"/>
        <color theme="1"/>
        <rFont val="Arial Narrow"/>
        <family val="2"/>
      </rPr>
      <t>ème</t>
    </r>
  </si>
  <si>
    <r>
      <t>50</t>
    </r>
    <r>
      <rPr>
        <i/>
        <vertAlign val="superscript"/>
        <sz val="11"/>
        <color theme="1"/>
        <rFont val="Arial Narrow"/>
        <family val="2"/>
      </rPr>
      <t>ème</t>
    </r>
  </si>
  <si>
    <r>
      <t>52</t>
    </r>
    <r>
      <rPr>
        <i/>
        <vertAlign val="superscript"/>
        <sz val="11"/>
        <color theme="1"/>
        <rFont val="Arial Narrow"/>
        <family val="2"/>
      </rPr>
      <t>ème</t>
    </r>
  </si>
  <si>
    <r>
      <t>53</t>
    </r>
    <r>
      <rPr>
        <i/>
        <vertAlign val="superscript"/>
        <sz val="11"/>
        <color theme="1"/>
        <rFont val="Arial Narrow"/>
        <family val="2"/>
      </rPr>
      <t>ème</t>
    </r>
  </si>
  <si>
    <r>
      <t>54</t>
    </r>
    <r>
      <rPr>
        <i/>
        <vertAlign val="superscript"/>
        <sz val="11"/>
        <color theme="1"/>
        <rFont val="Arial Narrow"/>
        <family val="2"/>
      </rPr>
      <t>ème</t>
    </r>
  </si>
  <si>
    <r>
      <t>55</t>
    </r>
    <r>
      <rPr>
        <i/>
        <vertAlign val="superscript"/>
        <sz val="11"/>
        <color theme="1"/>
        <rFont val="Arial Narrow"/>
        <family val="2"/>
      </rPr>
      <t>ème</t>
    </r>
  </si>
  <si>
    <r>
      <t>56</t>
    </r>
    <r>
      <rPr>
        <i/>
        <vertAlign val="superscript"/>
        <sz val="11"/>
        <color theme="1"/>
        <rFont val="Arial Narrow"/>
        <family val="2"/>
      </rPr>
      <t>ème</t>
    </r>
  </si>
  <si>
    <r>
      <t>57</t>
    </r>
    <r>
      <rPr>
        <i/>
        <vertAlign val="superscript"/>
        <sz val="11"/>
        <color theme="1"/>
        <rFont val="Arial Narrow"/>
        <family val="2"/>
      </rPr>
      <t>ème</t>
    </r>
  </si>
  <si>
    <r>
      <t>58</t>
    </r>
    <r>
      <rPr>
        <i/>
        <vertAlign val="superscript"/>
        <sz val="11"/>
        <color theme="1"/>
        <rFont val="Arial Narrow"/>
        <family val="2"/>
      </rPr>
      <t>ème</t>
    </r>
  </si>
  <si>
    <r>
      <t>59</t>
    </r>
    <r>
      <rPr>
        <i/>
        <vertAlign val="superscript"/>
        <sz val="11"/>
        <color theme="1"/>
        <rFont val="Arial Narrow"/>
        <family val="2"/>
      </rPr>
      <t>ème</t>
    </r>
  </si>
  <si>
    <r>
      <t>60</t>
    </r>
    <r>
      <rPr>
        <i/>
        <vertAlign val="superscript"/>
        <sz val="11"/>
        <color theme="1"/>
        <rFont val="Arial Narrow"/>
        <family val="2"/>
      </rPr>
      <t>ème</t>
    </r>
  </si>
  <si>
    <r>
      <t>61er</t>
    </r>
    <r>
      <rPr>
        <i/>
        <vertAlign val="superscript"/>
        <sz val="11"/>
        <color theme="1"/>
        <rFont val="Arial Narrow"/>
        <family val="2"/>
      </rPr>
      <t/>
    </r>
  </si>
  <si>
    <r>
      <t>62</t>
    </r>
    <r>
      <rPr>
        <i/>
        <vertAlign val="superscript"/>
        <sz val="11"/>
        <color theme="1"/>
        <rFont val="Arial Narrow"/>
        <family val="2"/>
      </rPr>
      <t>ème</t>
    </r>
  </si>
  <si>
    <r>
      <t>63</t>
    </r>
    <r>
      <rPr>
        <i/>
        <vertAlign val="superscript"/>
        <sz val="11"/>
        <color theme="1"/>
        <rFont val="Arial Narrow"/>
        <family val="2"/>
      </rPr>
      <t>ème</t>
    </r>
  </si>
  <si>
    <r>
      <t>64</t>
    </r>
    <r>
      <rPr>
        <i/>
        <vertAlign val="superscript"/>
        <sz val="11"/>
        <color theme="1"/>
        <rFont val="Arial Narrow"/>
        <family val="2"/>
      </rPr>
      <t>ème</t>
    </r>
  </si>
  <si>
    <r>
      <t>65</t>
    </r>
    <r>
      <rPr>
        <i/>
        <vertAlign val="superscript"/>
        <sz val="11"/>
        <color theme="1"/>
        <rFont val="Arial Narrow"/>
        <family val="2"/>
      </rPr>
      <t>ème</t>
    </r>
  </si>
  <si>
    <r>
      <t>66</t>
    </r>
    <r>
      <rPr>
        <i/>
        <vertAlign val="superscript"/>
        <sz val="11"/>
        <color theme="1"/>
        <rFont val="Arial Narrow"/>
        <family val="2"/>
      </rPr>
      <t>ème</t>
    </r>
  </si>
  <si>
    <r>
      <t>67</t>
    </r>
    <r>
      <rPr>
        <i/>
        <vertAlign val="superscript"/>
        <sz val="11"/>
        <color theme="1"/>
        <rFont val="Arial Narrow"/>
        <family val="2"/>
      </rPr>
      <t>ème</t>
    </r>
  </si>
  <si>
    <r>
      <t>68</t>
    </r>
    <r>
      <rPr>
        <i/>
        <vertAlign val="superscript"/>
        <sz val="11"/>
        <color theme="1"/>
        <rFont val="Arial Narrow"/>
        <family val="2"/>
      </rPr>
      <t>ème</t>
    </r>
  </si>
  <si>
    <r>
      <t>69</t>
    </r>
    <r>
      <rPr>
        <i/>
        <vertAlign val="superscript"/>
        <sz val="11"/>
        <color theme="1"/>
        <rFont val="Arial Narrow"/>
        <family val="2"/>
      </rPr>
      <t>ème</t>
    </r>
  </si>
  <si>
    <r>
      <t>70</t>
    </r>
    <r>
      <rPr>
        <i/>
        <vertAlign val="superscript"/>
        <sz val="11"/>
        <color theme="1"/>
        <rFont val="Arial Narrow"/>
        <family val="2"/>
      </rPr>
      <t>ème</t>
    </r>
  </si>
  <si>
    <r>
      <t>71er</t>
    </r>
    <r>
      <rPr>
        <i/>
        <vertAlign val="superscript"/>
        <sz val="11"/>
        <color theme="1"/>
        <rFont val="Arial Narrow"/>
        <family val="2"/>
      </rPr>
      <t/>
    </r>
  </si>
  <si>
    <r>
      <t>72</t>
    </r>
    <r>
      <rPr>
        <i/>
        <vertAlign val="superscript"/>
        <sz val="11"/>
        <color theme="1"/>
        <rFont val="Arial Narrow"/>
        <family val="2"/>
      </rPr>
      <t>ème</t>
    </r>
  </si>
  <si>
    <r>
      <t>73</t>
    </r>
    <r>
      <rPr>
        <i/>
        <vertAlign val="superscript"/>
        <sz val="11"/>
        <color theme="1"/>
        <rFont val="Arial Narrow"/>
        <family val="2"/>
      </rPr>
      <t>ème</t>
    </r>
  </si>
  <si>
    <r>
      <t>74</t>
    </r>
    <r>
      <rPr>
        <i/>
        <vertAlign val="superscript"/>
        <sz val="11"/>
        <color theme="1"/>
        <rFont val="Arial Narrow"/>
        <family val="2"/>
      </rPr>
      <t>ème</t>
    </r>
  </si>
  <si>
    <r>
      <t>75</t>
    </r>
    <r>
      <rPr>
        <i/>
        <vertAlign val="superscript"/>
        <sz val="11"/>
        <color theme="1"/>
        <rFont val="Arial Narrow"/>
        <family val="2"/>
      </rPr>
      <t>ème</t>
    </r>
  </si>
  <si>
    <r>
      <t>76</t>
    </r>
    <r>
      <rPr>
        <i/>
        <vertAlign val="superscript"/>
        <sz val="11"/>
        <color theme="1"/>
        <rFont val="Arial Narrow"/>
        <family val="2"/>
      </rPr>
      <t>ème</t>
    </r>
  </si>
  <si>
    <r>
      <t>77</t>
    </r>
    <r>
      <rPr>
        <i/>
        <vertAlign val="superscript"/>
        <sz val="11"/>
        <color theme="1"/>
        <rFont val="Arial Narrow"/>
        <family val="2"/>
      </rPr>
      <t>ème</t>
    </r>
  </si>
  <si>
    <r>
      <t>78</t>
    </r>
    <r>
      <rPr>
        <i/>
        <vertAlign val="superscript"/>
        <sz val="11"/>
        <color theme="1"/>
        <rFont val="Arial Narrow"/>
        <family val="2"/>
      </rPr>
      <t>ème</t>
    </r>
  </si>
  <si>
    <r>
      <t>79</t>
    </r>
    <r>
      <rPr>
        <i/>
        <vertAlign val="superscript"/>
        <sz val="11"/>
        <color theme="1"/>
        <rFont val="Arial Narrow"/>
        <family val="2"/>
      </rPr>
      <t>ème</t>
    </r>
  </si>
  <si>
    <r>
      <t>80</t>
    </r>
    <r>
      <rPr>
        <i/>
        <vertAlign val="superscript"/>
        <sz val="11"/>
        <color theme="1"/>
        <rFont val="Arial Narrow"/>
        <family val="2"/>
      </rPr>
      <t>ème</t>
    </r>
  </si>
  <si>
    <r>
      <t>81er</t>
    </r>
    <r>
      <rPr>
        <i/>
        <vertAlign val="superscript"/>
        <sz val="11"/>
        <color theme="1"/>
        <rFont val="Arial Narrow"/>
        <family val="2"/>
      </rPr>
      <t/>
    </r>
  </si>
  <si>
    <r>
      <t>82</t>
    </r>
    <r>
      <rPr>
        <i/>
        <vertAlign val="superscript"/>
        <sz val="11"/>
        <color theme="1"/>
        <rFont val="Arial Narrow"/>
        <family val="2"/>
      </rPr>
      <t>ème</t>
    </r>
  </si>
  <si>
    <r>
      <t>83</t>
    </r>
    <r>
      <rPr>
        <i/>
        <vertAlign val="superscript"/>
        <sz val="11"/>
        <color theme="1"/>
        <rFont val="Arial Narrow"/>
        <family val="2"/>
      </rPr>
      <t>ème</t>
    </r>
  </si>
  <si>
    <r>
      <t>84</t>
    </r>
    <r>
      <rPr>
        <i/>
        <vertAlign val="superscript"/>
        <sz val="11"/>
        <color theme="1"/>
        <rFont val="Arial Narrow"/>
        <family val="2"/>
      </rPr>
      <t>ème</t>
    </r>
  </si>
  <si>
    <r>
      <t>85</t>
    </r>
    <r>
      <rPr>
        <i/>
        <vertAlign val="superscript"/>
        <sz val="11"/>
        <color theme="1"/>
        <rFont val="Arial Narrow"/>
        <family val="2"/>
      </rPr>
      <t>ème</t>
    </r>
  </si>
  <si>
    <r>
      <t>86</t>
    </r>
    <r>
      <rPr>
        <i/>
        <vertAlign val="superscript"/>
        <sz val="11"/>
        <color theme="1"/>
        <rFont val="Arial Narrow"/>
        <family val="2"/>
      </rPr>
      <t>ème</t>
    </r>
  </si>
  <si>
    <r>
      <t>87</t>
    </r>
    <r>
      <rPr>
        <i/>
        <vertAlign val="superscript"/>
        <sz val="11"/>
        <color theme="1"/>
        <rFont val="Arial Narrow"/>
        <family val="2"/>
      </rPr>
      <t>ème</t>
    </r>
  </si>
  <si>
    <r>
      <t>88</t>
    </r>
    <r>
      <rPr>
        <i/>
        <vertAlign val="superscript"/>
        <sz val="11"/>
        <color theme="1"/>
        <rFont val="Arial Narrow"/>
        <family val="2"/>
      </rPr>
      <t>ème</t>
    </r>
  </si>
  <si>
    <r>
      <t>89</t>
    </r>
    <r>
      <rPr>
        <i/>
        <vertAlign val="superscript"/>
        <sz val="11"/>
        <color theme="1"/>
        <rFont val="Arial Narrow"/>
        <family val="2"/>
      </rPr>
      <t>ème</t>
    </r>
  </si>
  <si>
    <r>
      <t>90</t>
    </r>
    <r>
      <rPr>
        <i/>
        <vertAlign val="superscript"/>
        <sz val="11"/>
        <color theme="1"/>
        <rFont val="Arial Narrow"/>
        <family val="2"/>
      </rPr>
      <t>ème</t>
    </r>
  </si>
  <si>
    <r>
      <t>91er</t>
    </r>
    <r>
      <rPr>
        <i/>
        <vertAlign val="superscript"/>
        <sz val="11"/>
        <color theme="1"/>
        <rFont val="Arial Narrow"/>
        <family val="2"/>
      </rPr>
      <t/>
    </r>
  </si>
  <si>
    <r>
      <t>92</t>
    </r>
    <r>
      <rPr>
        <i/>
        <vertAlign val="superscript"/>
        <sz val="11"/>
        <color theme="1"/>
        <rFont val="Arial Narrow"/>
        <family val="2"/>
      </rPr>
      <t>ème</t>
    </r>
  </si>
  <si>
    <r>
      <t>93</t>
    </r>
    <r>
      <rPr>
        <i/>
        <vertAlign val="superscript"/>
        <sz val="11"/>
        <color theme="1"/>
        <rFont val="Arial Narrow"/>
        <family val="2"/>
      </rPr>
      <t>ème</t>
    </r>
  </si>
  <si>
    <r>
      <t>94</t>
    </r>
    <r>
      <rPr>
        <i/>
        <vertAlign val="superscript"/>
        <sz val="11"/>
        <color theme="1"/>
        <rFont val="Arial Narrow"/>
        <family val="2"/>
      </rPr>
      <t>ème</t>
    </r>
  </si>
  <si>
    <r>
      <t>95</t>
    </r>
    <r>
      <rPr>
        <i/>
        <vertAlign val="superscript"/>
        <sz val="11"/>
        <color theme="1"/>
        <rFont val="Arial Narrow"/>
        <family val="2"/>
      </rPr>
      <t>ème</t>
    </r>
  </si>
  <si>
    <r>
      <t>96</t>
    </r>
    <r>
      <rPr>
        <i/>
        <vertAlign val="superscript"/>
        <sz val="11"/>
        <color theme="1"/>
        <rFont val="Arial Narrow"/>
        <family val="2"/>
      </rPr>
      <t>ème</t>
    </r>
  </si>
  <si>
    <r>
      <t>97</t>
    </r>
    <r>
      <rPr>
        <i/>
        <vertAlign val="superscript"/>
        <sz val="11"/>
        <color theme="1"/>
        <rFont val="Arial Narrow"/>
        <family val="2"/>
      </rPr>
      <t>ème</t>
    </r>
  </si>
  <si>
    <r>
      <t>51</t>
    </r>
    <r>
      <rPr>
        <i/>
        <vertAlign val="superscript"/>
        <sz val="11"/>
        <color theme="1"/>
        <rFont val="Arial Narrow"/>
        <family val="2"/>
      </rPr>
      <t>ème</t>
    </r>
  </si>
  <si>
    <r>
      <t>CLASSE: 7</t>
    </r>
    <r>
      <rPr>
        <b/>
        <vertAlign val="superscript"/>
        <sz val="11"/>
        <color indexed="8"/>
        <rFont val="Arial Narrow"/>
        <family val="2"/>
      </rPr>
      <t>ème</t>
    </r>
    <r>
      <rPr>
        <b/>
        <sz val="11"/>
        <color indexed="8"/>
        <rFont val="Arial Narrow"/>
        <family val="2"/>
      </rPr>
      <t xml:space="preserve"> ANNEE</t>
    </r>
  </si>
  <si>
    <t>Moyenne COURS</t>
  </si>
  <si>
    <t>Moyenne COMPOSition</t>
  </si>
  <si>
    <t>Moyenne 1er Semestre</t>
  </si>
  <si>
    <r>
      <t>1</t>
    </r>
    <r>
      <rPr>
        <b/>
        <vertAlign val="superscript"/>
        <sz val="11"/>
        <color theme="1"/>
        <rFont val="Arial Narrow"/>
        <family val="2"/>
      </rPr>
      <t>er</t>
    </r>
  </si>
  <si>
    <r>
      <t>2</t>
    </r>
    <r>
      <rPr>
        <b/>
        <vertAlign val="superscript"/>
        <sz val="11"/>
        <color theme="1"/>
        <rFont val="Arial Narrow"/>
        <family val="2"/>
      </rPr>
      <t>ème</t>
    </r>
  </si>
  <si>
    <r>
      <t>3</t>
    </r>
    <r>
      <rPr>
        <b/>
        <vertAlign val="superscript"/>
        <sz val="11"/>
        <color theme="1"/>
        <rFont val="Arial Narrow"/>
        <family val="2"/>
      </rPr>
      <t>ème</t>
    </r>
  </si>
  <si>
    <r>
      <t>4</t>
    </r>
    <r>
      <rPr>
        <b/>
        <vertAlign val="superscript"/>
        <sz val="11"/>
        <color theme="1"/>
        <rFont val="Arial Narrow"/>
        <family val="2"/>
      </rPr>
      <t>ème</t>
    </r>
  </si>
  <si>
    <r>
      <t>5</t>
    </r>
    <r>
      <rPr>
        <b/>
        <vertAlign val="superscript"/>
        <sz val="11"/>
        <color theme="1"/>
        <rFont val="Arial Narrow"/>
        <family val="2"/>
      </rPr>
      <t>ème</t>
    </r>
  </si>
  <si>
    <r>
      <t>6</t>
    </r>
    <r>
      <rPr>
        <b/>
        <vertAlign val="superscript"/>
        <sz val="11"/>
        <color theme="1"/>
        <rFont val="Arial Narrow"/>
        <family val="2"/>
      </rPr>
      <t>ème</t>
    </r>
  </si>
  <si>
    <r>
      <t>7</t>
    </r>
    <r>
      <rPr>
        <b/>
        <vertAlign val="superscript"/>
        <sz val="11"/>
        <color theme="1"/>
        <rFont val="Arial Narrow"/>
        <family val="2"/>
      </rPr>
      <t>ème</t>
    </r>
  </si>
  <si>
    <r>
      <t>8</t>
    </r>
    <r>
      <rPr>
        <b/>
        <vertAlign val="superscript"/>
        <sz val="11"/>
        <color theme="1"/>
        <rFont val="Arial Narrow"/>
        <family val="2"/>
      </rPr>
      <t>ème</t>
    </r>
  </si>
  <si>
    <r>
      <t>9</t>
    </r>
    <r>
      <rPr>
        <b/>
        <vertAlign val="superscript"/>
        <sz val="11"/>
        <color theme="1"/>
        <rFont val="Arial Narrow"/>
        <family val="2"/>
      </rPr>
      <t>ème</t>
    </r>
  </si>
  <si>
    <r>
      <t>10</t>
    </r>
    <r>
      <rPr>
        <b/>
        <vertAlign val="superscript"/>
        <sz val="11"/>
        <color theme="1"/>
        <rFont val="Arial Narrow"/>
        <family val="2"/>
      </rPr>
      <t>ème</t>
    </r>
  </si>
  <si>
    <r>
      <t>11</t>
    </r>
    <r>
      <rPr>
        <b/>
        <vertAlign val="superscript"/>
        <sz val="11"/>
        <color theme="1"/>
        <rFont val="Arial Narrow"/>
        <family val="2"/>
      </rPr>
      <t>ème</t>
    </r>
  </si>
  <si>
    <r>
      <t>12</t>
    </r>
    <r>
      <rPr>
        <b/>
        <vertAlign val="superscript"/>
        <sz val="11"/>
        <color theme="1"/>
        <rFont val="Arial Narrow"/>
        <family val="2"/>
      </rPr>
      <t>ème</t>
    </r>
  </si>
  <si>
    <r>
      <t>13</t>
    </r>
    <r>
      <rPr>
        <b/>
        <vertAlign val="superscript"/>
        <sz val="11"/>
        <color theme="1"/>
        <rFont val="Arial Narrow"/>
        <family val="2"/>
      </rPr>
      <t>ème</t>
    </r>
  </si>
  <si>
    <r>
      <t>14</t>
    </r>
    <r>
      <rPr>
        <b/>
        <vertAlign val="superscript"/>
        <sz val="11"/>
        <color theme="1"/>
        <rFont val="Arial Narrow"/>
        <family val="2"/>
      </rPr>
      <t>ème</t>
    </r>
  </si>
  <si>
    <r>
      <t>15</t>
    </r>
    <r>
      <rPr>
        <b/>
        <vertAlign val="superscript"/>
        <sz val="11"/>
        <color theme="1"/>
        <rFont val="Arial Narrow"/>
        <family val="2"/>
      </rPr>
      <t>ème</t>
    </r>
  </si>
  <si>
    <r>
      <t>16</t>
    </r>
    <r>
      <rPr>
        <b/>
        <vertAlign val="superscript"/>
        <sz val="11"/>
        <color theme="1"/>
        <rFont val="Arial Narrow"/>
        <family val="2"/>
      </rPr>
      <t>ème</t>
    </r>
  </si>
  <si>
    <r>
      <t>17</t>
    </r>
    <r>
      <rPr>
        <b/>
        <vertAlign val="superscript"/>
        <sz val="11"/>
        <color theme="1"/>
        <rFont val="Arial Narrow"/>
        <family val="2"/>
      </rPr>
      <t>ème</t>
    </r>
  </si>
  <si>
    <r>
      <t>18</t>
    </r>
    <r>
      <rPr>
        <b/>
        <vertAlign val="superscript"/>
        <sz val="11"/>
        <color theme="1"/>
        <rFont val="Arial Narrow"/>
        <family val="2"/>
      </rPr>
      <t>ème</t>
    </r>
  </si>
  <si>
    <r>
      <t>19</t>
    </r>
    <r>
      <rPr>
        <b/>
        <vertAlign val="superscript"/>
        <sz val="11"/>
        <color theme="1"/>
        <rFont val="Arial Narrow"/>
        <family val="2"/>
      </rPr>
      <t>ème</t>
    </r>
  </si>
  <si>
    <r>
      <t>20</t>
    </r>
    <r>
      <rPr>
        <b/>
        <vertAlign val="superscript"/>
        <sz val="11"/>
        <color theme="1"/>
        <rFont val="Arial Narrow"/>
        <family val="2"/>
      </rPr>
      <t>ème</t>
    </r>
  </si>
  <si>
    <r>
      <t>21er</t>
    </r>
    <r>
      <rPr>
        <b/>
        <vertAlign val="superscript"/>
        <sz val="11"/>
        <color theme="1"/>
        <rFont val="Arial Narrow"/>
        <family val="2"/>
      </rPr>
      <t/>
    </r>
  </si>
  <si>
    <r>
      <t>22</t>
    </r>
    <r>
      <rPr>
        <b/>
        <vertAlign val="superscript"/>
        <sz val="11"/>
        <color theme="1"/>
        <rFont val="Arial Narrow"/>
        <family val="2"/>
      </rPr>
      <t>ème</t>
    </r>
  </si>
  <si>
    <r>
      <t>23</t>
    </r>
    <r>
      <rPr>
        <b/>
        <vertAlign val="superscript"/>
        <sz val="11"/>
        <color theme="1"/>
        <rFont val="Arial Narrow"/>
        <family val="2"/>
      </rPr>
      <t>ème</t>
    </r>
  </si>
  <si>
    <r>
      <t>24</t>
    </r>
    <r>
      <rPr>
        <b/>
        <vertAlign val="superscript"/>
        <sz val="11"/>
        <color theme="1"/>
        <rFont val="Arial Narrow"/>
        <family val="2"/>
      </rPr>
      <t>ème</t>
    </r>
  </si>
  <si>
    <r>
      <t>25</t>
    </r>
    <r>
      <rPr>
        <b/>
        <vertAlign val="superscript"/>
        <sz val="11"/>
        <color theme="1"/>
        <rFont val="Arial Narrow"/>
        <family val="2"/>
      </rPr>
      <t>ème</t>
    </r>
  </si>
  <si>
    <r>
      <t>26</t>
    </r>
    <r>
      <rPr>
        <b/>
        <vertAlign val="superscript"/>
        <sz val="11"/>
        <color theme="1"/>
        <rFont val="Arial Narrow"/>
        <family val="2"/>
      </rPr>
      <t>ème</t>
    </r>
  </si>
  <si>
    <r>
      <t>27</t>
    </r>
    <r>
      <rPr>
        <b/>
        <vertAlign val="superscript"/>
        <sz val="11"/>
        <color theme="1"/>
        <rFont val="Arial Narrow"/>
        <family val="2"/>
      </rPr>
      <t>ème</t>
    </r>
  </si>
  <si>
    <r>
      <t>28</t>
    </r>
    <r>
      <rPr>
        <b/>
        <vertAlign val="superscript"/>
        <sz val="11"/>
        <color theme="1"/>
        <rFont val="Arial Narrow"/>
        <family val="2"/>
      </rPr>
      <t>ème</t>
    </r>
  </si>
  <si>
    <r>
      <t>29</t>
    </r>
    <r>
      <rPr>
        <b/>
        <vertAlign val="superscript"/>
        <sz val="11"/>
        <color theme="1"/>
        <rFont val="Arial Narrow"/>
        <family val="2"/>
      </rPr>
      <t>ème</t>
    </r>
  </si>
  <si>
    <r>
      <t>30</t>
    </r>
    <r>
      <rPr>
        <b/>
        <vertAlign val="superscript"/>
        <sz val="11"/>
        <color theme="1"/>
        <rFont val="Arial Narrow"/>
        <family val="2"/>
      </rPr>
      <t>ème</t>
    </r>
  </si>
  <si>
    <r>
      <t>31er</t>
    </r>
    <r>
      <rPr>
        <b/>
        <vertAlign val="superscript"/>
        <sz val="11"/>
        <color theme="1"/>
        <rFont val="Arial Narrow"/>
        <family val="2"/>
      </rPr>
      <t/>
    </r>
  </si>
  <si>
    <r>
      <t>32</t>
    </r>
    <r>
      <rPr>
        <b/>
        <vertAlign val="superscript"/>
        <sz val="11"/>
        <color theme="1"/>
        <rFont val="Arial Narrow"/>
        <family val="2"/>
      </rPr>
      <t>ème</t>
    </r>
  </si>
  <si>
    <r>
      <t>33</t>
    </r>
    <r>
      <rPr>
        <b/>
        <vertAlign val="superscript"/>
        <sz val="11"/>
        <color theme="1"/>
        <rFont val="Arial Narrow"/>
        <family val="2"/>
      </rPr>
      <t>ème</t>
    </r>
  </si>
  <si>
    <r>
      <t>34</t>
    </r>
    <r>
      <rPr>
        <b/>
        <vertAlign val="superscript"/>
        <sz val="11"/>
        <color theme="1"/>
        <rFont val="Arial Narrow"/>
        <family val="2"/>
      </rPr>
      <t>ème</t>
    </r>
  </si>
  <si>
    <r>
      <t>35</t>
    </r>
    <r>
      <rPr>
        <b/>
        <vertAlign val="superscript"/>
        <sz val="11"/>
        <color theme="1"/>
        <rFont val="Arial Narrow"/>
        <family val="2"/>
      </rPr>
      <t>ème</t>
    </r>
  </si>
  <si>
    <r>
      <t>36</t>
    </r>
    <r>
      <rPr>
        <b/>
        <vertAlign val="superscript"/>
        <sz val="11"/>
        <color theme="1"/>
        <rFont val="Arial Narrow"/>
        <family val="2"/>
      </rPr>
      <t>ème</t>
    </r>
  </si>
  <si>
    <r>
      <t>37</t>
    </r>
    <r>
      <rPr>
        <b/>
        <vertAlign val="superscript"/>
        <sz val="11"/>
        <color theme="1"/>
        <rFont val="Arial Narrow"/>
        <family val="2"/>
      </rPr>
      <t>ème</t>
    </r>
  </si>
  <si>
    <r>
      <t>38</t>
    </r>
    <r>
      <rPr>
        <b/>
        <vertAlign val="superscript"/>
        <sz val="11"/>
        <color theme="1"/>
        <rFont val="Arial Narrow"/>
        <family val="2"/>
      </rPr>
      <t>ème</t>
    </r>
  </si>
  <si>
    <r>
      <t>39</t>
    </r>
    <r>
      <rPr>
        <b/>
        <vertAlign val="superscript"/>
        <sz val="11"/>
        <color theme="1"/>
        <rFont val="Arial Narrow"/>
        <family val="2"/>
      </rPr>
      <t>ème</t>
    </r>
  </si>
  <si>
    <r>
      <t>40</t>
    </r>
    <r>
      <rPr>
        <b/>
        <vertAlign val="superscript"/>
        <sz val="11"/>
        <color theme="1"/>
        <rFont val="Arial Narrow"/>
        <family val="2"/>
      </rPr>
      <t>ème</t>
    </r>
  </si>
  <si>
    <r>
      <t>41er</t>
    </r>
    <r>
      <rPr>
        <b/>
        <vertAlign val="superscript"/>
        <sz val="11"/>
        <color theme="1"/>
        <rFont val="Arial Narrow"/>
        <family val="2"/>
      </rPr>
      <t/>
    </r>
  </si>
  <si>
    <r>
      <t>42</t>
    </r>
    <r>
      <rPr>
        <b/>
        <vertAlign val="superscript"/>
        <sz val="11"/>
        <color theme="1"/>
        <rFont val="Arial Narrow"/>
        <family val="2"/>
      </rPr>
      <t>ème</t>
    </r>
  </si>
  <si>
    <r>
      <t>43</t>
    </r>
    <r>
      <rPr>
        <b/>
        <vertAlign val="superscript"/>
        <sz val="11"/>
        <color theme="1"/>
        <rFont val="Arial Narrow"/>
        <family val="2"/>
      </rPr>
      <t>ème</t>
    </r>
  </si>
  <si>
    <r>
      <t>44</t>
    </r>
    <r>
      <rPr>
        <b/>
        <vertAlign val="superscript"/>
        <sz val="11"/>
        <color theme="1"/>
        <rFont val="Arial Narrow"/>
        <family val="2"/>
      </rPr>
      <t>ème</t>
    </r>
  </si>
  <si>
    <r>
      <t>45</t>
    </r>
    <r>
      <rPr>
        <b/>
        <vertAlign val="superscript"/>
        <sz val="11"/>
        <color theme="1"/>
        <rFont val="Arial Narrow"/>
        <family val="2"/>
      </rPr>
      <t>ème</t>
    </r>
  </si>
  <si>
    <r>
      <t>46</t>
    </r>
    <r>
      <rPr>
        <b/>
        <vertAlign val="superscript"/>
        <sz val="11"/>
        <color theme="1"/>
        <rFont val="Arial Narrow"/>
        <family val="2"/>
      </rPr>
      <t>ème</t>
    </r>
  </si>
  <si>
    <r>
      <t>47</t>
    </r>
    <r>
      <rPr>
        <b/>
        <vertAlign val="superscript"/>
        <sz val="11"/>
        <color theme="1"/>
        <rFont val="Arial Narrow"/>
        <family val="2"/>
      </rPr>
      <t>ème</t>
    </r>
  </si>
  <si>
    <r>
      <t>48</t>
    </r>
    <r>
      <rPr>
        <b/>
        <vertAlign val="superscript"/>
        <sz val="11"/>
        <color theme="1"/>
        <rFont val="Arial Narrow"/>
        <family val="2"/>
      </rPr>
      <t>ème</t>
    </r>
  </si>
  <si>
    <r>
      <t>49</t>
    </r>
    <r>
      <rPr>
        <b/>
        <vertAlign val="superscript"/>
        <sz val="11"/>
        <color theme="1"/>
        <rFont val="Arial Narrow"/>
        <family val="2"/>
      </rPr>
      <t>ème</t>
    </r>
  </si>
  <si>
    <r>
      <t>50</t>
    </r>
    <r>
      <rPr>
        <b/>
        <vertAlign val="superscript"/>
        <sz val="11"/>
        <color theme="1"/>
        <rFont val="Arial Narrow"/>
        <family val="2"/>
      </rPr>
      <t>ème</t>
    </r>
  </si>
  <si>
    <r>
      <t>51er</t>
    </r>
    <r>
      <rPr>
        <b/>
        <vertAlign val="superscript"/>
        <sz val="11"/>
        <color theme="1"/>
        <rFont val="Arial Narrow"/>
        <family val="2"/>
      </rPr>
      <t/>
    </r>
  </si>
  <si>
    <r>
      <t>52</t>
    </r>
    <r>
      <rPr>
        <b/>
        <vertAlign val="superscript"/>
        <sz val="11"/>
        <color theme="1"/>
        <rFont val="Arial Narrow"/>
        <family val="2"/>
      </rPr>
      <t>ème</t>
    </r>
  </si>
  <si>
    <r>
      <t>53</t>
    </r>
    <r>
      <rPr>
        <b/>
        <vertAlign val="superscript"/>
        <sz val="11"/>
        <color theme="1"/>
        <rFont val="Arial Narrow"/>
        <family val="2"/>
      </rPr>
      <t>ème</t>
    </r>
  </si>
  <si>
    <r>
      <t>54</t>
    </r>
    <r>
      <rPr>
        <b/>
        <vertAlign val="superscript"/>
        <sz val="11"/>
        <color theme="1"/>
        <rFont val="Arial Narrow"/>
        <family val="2"/>
      </rPr>
      <t>ème</t>
    </r>
  </si>
  <si>
    <r>
      <t>55</t>
    </r>
    <r>
      <rPr>
        <b/>
        <vertAlign val="superscript"/>
        <sz val="11"/>
        <color theme="1"/>
        <rFont val="Arial Narrow"/>
        <family val="2"/>
      </rPr>
      <t>ème</t>
    </r>
  </si>
  <si>
    <r>
      <t>56</t>
    </r>
    <r>
      <rPr>
        <b/>
        <vertAlign val="superscript"/>
        <sz val="11"/>
        <color theme="1"/>
        <rFont val="Arial Narrow"/>
        <family val="2"/>
      </rPr>
      <t>ème</t>
    </r>
  </si>
  <si>
    <r>
      <t>57</t>
    </r>
    <r>
      <rPr>
        <b/>
        <vertAlign val="superscript"/>
        <sz val="11"/>
        <color theme="1"/>
        <rFont val="Arial Narrow"/>
        <family val="2"/>
      </rPr>
      <t>ème</t>
    </r>
  </si>
  <si>
    <r>
      <t>58</t>
    </r>
    <r>
      <rPr>
        <b/>
        <vertAlign val="superscript"/>
        <sz val="11"/>
        <color theme="1"/>
        <rFont val="Arial Narrow"/>
        <family val="2"/>
      </rPr>
      <t>ème</t>
    </r>
  </si>
  <si>
    <r>
      <t>59</t>
    </r>
    <r>
      <rPr>
        <b/>
        <vertAlign val="superscript"/>
        <sz val="11"/>
        <color theme="1"/>
        <rFont val="Arial Narrow"/>
        <family val="2"/>
      </rPr>
      <t>ème</t>
    </r>
  </si>
  <si>
    <r>
      <t>60</t>
    </r>
    <r>
      <rPr>
        <b/>
        <vertAlign val="superscript"/>
        <sz val="11"/>
        <color theme="1"/>
        <rFont val="Arial Narrow"/>
        <family val="2"/>
      </rPr>
      <t>ème</t>
    </r>
  </si>
  <si>
    <r>
      <t>61er</t>
    </r>
    <r>
      <rPr>
        <b/>
        <vertAlign val="superscript"/>
        <sz val="11"/>
        <color theme="1"/>
        <rFont val="Arial Narrow"/>
        <family val="2"/>
      </rPr>
      <t/>
    </r>
  </si>
  <si>
    <r>
      <t>62</t>
    </r>
    <r>
      <rPr>
        <b/>
        <vertAlign val="superscript"/>
        <sz val="11"/>
        <color theme="1"/>
        <rFont val="Arial Narrow"/>
        <family val="2"/>
      </rPr>
      <t>ème</t>
    </r>
  </si>
  <si>
    <r>
      <t>63</t>
    </r>
    <r>
      <rPr>
        <b/>
        <vertAlign val="superscript"/>
        <sz val="11"/>
        <color theme="1"/>
        <rFont val="Arial Narrow"/>
        <family val="2"/>
      </rPr>
      <t>ème</t>
    </r>
  </si>
  <si>
    <r>
      <t>64</t>
    </r>
    <r>
      <rPr>
        <b/>
        <vertAlign val="superscript"/>
        <sz val="11"/>
        <color theme="1"/>
        <rFont val="Arial Narrow"/>
        <family val="2"/>
      </rPr>
      <t>ème</t>
    </r>
  </si>
  <si>
    <r>
      <t>65</t>
    </r>
    <r>
      <rPr>
        <b/>
        <vertAlign val="superscript"/>
        <sz val="11"/>
        <color theme="1"/>
        <rFont val="Arial Narrow"/>
        <family val="2"/>
      </rPr>
      <t>ème</t>
    </r>
  </si>
  <si>
    <r>
      <t>66</t>
    </r>
    <r>
      <rPr>
        <b/>
        <vertAlign val="superscript"/>
        <sz val="11"/>
        <color theme="1"/>
        <rFont val="Arial Narrow"/>
        <family val="2"/>
      </rPr>
      <t>ème</t>
    </r>
  </si>
  <si>
    <r>
      <t>67</t>
    </r>
    <r>
      <rPr>
        <b/>
        <vertAlign val="superscript"/>
        <sz val="11"/>
        <color theme="1"/>
        <rFont val="Arial Narrow"/>
        <family val="2"/>
      </rPr>
      <t>ème</t>
    </r>
  </si>
  <si>
    <r>
      <t>68</t>
    </r>
    <r>
      <rPr>
        <b/>
        <vertAlign val="superscript"/>
        <sz val="11"/>
        <color theme="1"/>
        <rFont val="Arial Narrow"/>
        <family val="2"/>
      </rPr>
      <t>ème</t>
    </r>
  </si>
  <si>
    <r>
      <t>69</t>
    </r>
    <r>
      <rPr>
        <b/>
        <vertAlign val="superscript"/>
        <sz val="11"/>
        <color theme="1"/>
        <rFont val="Arial Narrow"/>
        <family val="2"/>
      </rPr>
      <t>ème</t>
    </r>
  </si>
  <si>
    <r>
      <t>70</t>
    </r>
    <r>
      <rPr>
        <b/>
        <vertAlign val="superscript"/>
        <sz val="11"/>
        <color theme="1"/>
        <rFont val="Arial Narrow"/>
        <family val="2"/>
      </rPr>
      <t>ème</t>
    </r>
  </si>
  <si>
    <r>
      <t>71er</t>
    </r>
    <r>
      <rPr>
        <b/>
        <vertAlign val="superscript"/>
        <sz val="11"/>
        <color theme="1"/>
        <rFont val="Arial Narrow"/>
        <family val="2"/>
      </rPr>
      <t/>
    </r>
  </si>
  <si>
    <r>
      <t>72</t>
    </r>
    <r>
      <rPr>
        <b/>
        <vertAlign val="superscript"/>
        <sz val="11"/>
        <color theme="1"/>
        <rFont val="Arial Narrow"/>
        <family val="2"/>
      </rPr>
      <t>ème</t>
    </r>
  </si>
  <si>
    <r>
      <t>73</t>
    </r>
    <r>
      <rPr>
        <b/>
        <vertAlign val="superscript"/>
        <sz val="11"/>
        <color theme="1"/>
        <rFont val="Arial Narrow"/>
        <family val="2"/>
      </rPr>
      <t>ème</t>
    </r>
  </si>
  <si>
    <r>
      <t>74</t>
    </r>
    <r>
      <rPr>
        <b/>
        <vertAlign val="superscript"/>
        <sz val="11"/>
        <color theme="1"/>
        <rFont val="Arial Narrow"/>
        <family val="2"/>
      </rPr>
      <t>ème</t>
    </r>
  </si>
  <si>
    <r>
      <t>75</t>
    </r>
    <r>
      <rPr>
        <b/>
        <vertAlign val="superscript"/>
        <sz val="11"/>
        <color theme="1"/>
        <rFont val="Arial Narrow"/>
        <family val="2"/>
      </rPr>
      <t>ème</t>
    </r>
  </si>
  <si>
    <r>
      <t>76</t>
    </r>
    <r>
      <rPr>
        <b/>
        <vertAlign val="superscript"/>
        <sz val="11"/>
        <color theme="1"/>
        <rFont val="Arial Narrow"/>
        <family val="2"/>
      </rPr>
      <t>ème</t>
    </r>
  </si>
  <si>
    <r>
      <t>77</t>
    </r>
    <r>
      <rPr>
        <b/>
        <vertAlign val="superscript"/>
        <sz val="11"/>
        <color theme="1"/>
        <rFont val="Arial Narrow"/>
        <family val="2"/>
      </rPr>
      <t>ème</t>
    </r>
  </si>
  <si>
    <r>
      <t>78</t>
    </r>
    <r>
      <rPr>
        <b/>
        <vertAlign val="superscript"/>
        <sz val="11"/>
        <color theme="1"/>
        <rFont val="Arial Narrow"/>
        <family val="2"/>
      </rPr>
      <t>ème</t>
    </r>
  </si>
  <si>
    <r>
      <t>79</t>
    </r>
    <r>
      <rPr>
        <b/>
        <vertAlign val="superscript"/>
        <sz val="11"/>
        <color theme="1"/>
        <rFont val="Arial Narrow"/>
        <family val="2"/>
      </rPr>
      <t>ème</t>
    </r>
  </si>
  <si>
    <r>
      <t>80</t>
    </r>
    <r>
      <rPr>
        <b/>
        <vertAlign val="superscript"/>
        <sz val="11"/>
        <color theme="1"/>
        <rFont val="Arial Narrow"/>
        <family val="2"/>
      </rPr>
      <t>ème</t>
    </r>
  </si>
  <si>
    <r>
      <t>81er</t>
    </r>
    <r>
      <rPr>
        <b/>
        <vertAlign val="superscript"/>
        <sz val="11"/>
        <color theme="1"/>
        <rFont val="Arial Narrow"/>
        <family val="2"/>
      </rPr>
      <t/>
    </r>
  </si>
  <si>
    <r>
      <t>82</t>
    </r>
    <r>
      <rPr>
        <b/>
        <vertAlign val="superscript"/>
        <sz val="11"/>
        <color theme="1"/>
        <rFont val="Arial Narrow"/>
        <family val="2"/>
      </rPr>
      <t>ème</t>
    </r>
  </si>
  <si>
    <r>
      <t>83</t>
    </r>
    <r>
      <rPr>
        <b/>
        <vertAlign val="superscript"/>
        <sz val="11"/>
        <color theme="1"/>
        <rFont val="Arial Narrow"/>
        <family val="2"/>
      </rPr>
      <t>ème</t>
    </r>
  </si>
  <si>
    <r>
      <t>84</t>
    </r>
    <r>
      <rPr>
        <b/>
        <vertAlign val="superscript"/>
        <sz val="11"/>
        <color theme="1"/>
        <rFont val="Arial Narrow"/>
        <family val="2"/>
      </rPr>
      <t>ème</t>
    </r>
  </si>
  <si>
    <r>
      <t>85</t>
    </r>
    <r>
      <rPr>
        <b/>
        <vertAlign val="superscript"/>
        <sz val="11"/>
        <color theme="1"/>
        <rFont val="Arial Narrow"/>
        <family val="2"/>
      </rPr>
      <t>ème</t>
    </r>
  </si>
  <si>
    <r>
      <t>86</t>
    </r>
    <r>
      <rPr>
        <b/>
        <vertAlign val="superscript"/>
        <sz val="11"/>
        <color theme="1"/>
        <rFont val="Arial Narrow"/>
        <family val="2"/>
      </rPr>
      <t>ème</t>
    </r>
  </si>
  <si>
    <r>
      <t>87</t>
    </r>
    <r>
      <rPr>
        <b/>
        <vertAlign val="superscript"/>
        <sz val="11"/>
        <color theme="1"/>
        <rFont val="Arial Narrow"/>
        <family val="2"/>
      </rPr>
      <t>ème</t>
    </r>
  </si>
  <si>
    <r>
      <t>88</t>
    </r>
    <r>
      <rPr>
        <b/>
        <vertAlign val="superscript"/>
        <sz val="11"/>
        <color theme="1"/>
        <rFont val="Arial Narrow"/>
        <family val="2"/>
      </rPr>
      <t>ème</t>
    </r>
  </si>
  <si>
    <r>
      <t>89</t>
    </r>
    <r>
      <rPr>
        <b/>
        <vertAlign val="superscript"/>
        <sz val="11"/>
        <color theme="1"/>
        <rFont val="Arial Narrow"/>
        <family val="2"/>
      </rPr>
      <t>ème</t>
    </r>
  </si>
  <si>
    <r>
      <t>90</t>
    </r>
    <r>
      <rPr>
        <b/>
        <vertAlign val="superscript"/>
        <sz val="11"/>
        <color theme="1"/>
        <rFont val="Arial Narrow"/>
        <family val="2"/>
      </rPr>
      <t>ème</t>
    </r>
  </si>
  <si>
    <r>
      <t>91er</t>
    </r>
    <r>
      <rPr>
        <b/>
        <vertAlign val="superscript"/>
        <sz val="11"/>
        <color theme="1"/>
        <rFont val="Arial Narrow"/>
        <family val="2"/>
      </rPr>
      <t/>
    </r>
  </si>
  <si>
    <r>
      <t>92</t>
    </r>
    <r>
      <rPr>
        <b/>
        <vertAlign val="superscript"/>
        <sz val="11"/>
        <color theme="1"/>
        <rFont val="Arial Narrow"/>
        <family val="2"/>
      </rPr>
      <t>ème</t>
    </r>
  </si>
  <si>
    <r>
      <t>93</t>
    </r>
    <r>
      <rPr>
        <b/>
        <vertAlign val="superscript"/>
        <sz val="11"/>
        <color theme="1"/>
        <rFont val="Arial Narrow"/>
        <family val="2"/>
      </rPr>
      <t>ème</t>
    </r>
  </si>
  <si>
    <r>
      <t>94</t>
    </r>
    <r>
      <rPr>
        <b/>
        <vertAlign val="superscript"/>
        <sz val="11"/>
        <color theme="1"/>
        <rFont val="Arial Narrow"/>
        <family val="2"/>
      </rPr>
      <t>ème</t>
    </r>
  </si>
  <si>
    <r>
      <t>95</t>
    </r>
    <r>
      <rPr>
        <b/>
        <vertAlign val="superscript"/>
        <sz val="11"/>
        <color theme="1"/>
        <rFont val="Arial Narrow"/>
        <family val="2"/>
      </rPr>
      <t>ème</t>
    </r>
  </si>
  <si>
    <r>
      <t>96</t>
    </r>
    <r>
      <rPr>
        <b/>
        <vertAlign val="superscript"/>
        <sz val="11"/>
        <color theme="1"/>
        <rFont val="Arial Narrow"/>
        <family val="2"/>
      </rPr>
      <t>ème</t>
    </r>
  </si>
  <si>
    <r>
      <t>97</t>
    </r>
    <r>
      <rPr>
        <b/>
        <vertAlign val="superscript"/>
        <sz val="11"/>
        <color theme="1"/>
        <rFont val="Arial Narrow"/>
        <family val="2"/>
      </rPr>
      <t>ème</t>
    </r>
  </si>
  <si>
    <r>
      <t>98</t>
    </r>
    <r>
      <rPr>
        <b/>
        <vertAlign val="superscript"/>
        <sz val="11"/>
        <color theme="1"/>
        <rFont val="Arial Narrow"/>
        <family val="2"/>
      </rPr>
      <t>ème</t>
    </r>
  </si>
  <si>
    <r>
      <t>99</t>
    </r>
    <r>
      <rPr>
        <b/>
        <vertAlign val="superscript"/>
        <sz val="11"/>
        <color theme="1"/>
        <rFont val="Arial Narrow"/>
        <family val="2"/>
      </rPr>
      <t>ème</t>
    </r>
  </si>
  <si>
    <r>
      <t>91</t>
    </r>
    <r>
      <rPr>
        <b/>
        <vertAlign val="superscript"/>
        <sz val="11"/>
        <color theme="1"/>
        <rFont val="Arial Narrow"/>
        <family val="2"/>
      </rPr>
      <t>ème</t>
    </r>
  </si>
  <si>
    <r>
      <t>61</t>
    </r>
    <r>
      <rPr>
        <b/>
        <vertAlign val="superscript"/>
        <sz val="11"/>
        <color theme="1"/>
        <rFont val="Arial Narrow"/>
        <family val="2"/>
      </rPr>
      <t>ème</t>
    </r>
    <r>
      <rPr>
        <b/>
        <sz val="11"/>
        <color theme="1"/>
        <rFont val="Arial Narrow"/>
        <family val="2"/>
      </rPr>
      <t xml:space="preserve"> </t>
    </r>
  </si>
  <si>
    <r>
      <t>51</t>
    </r>
    <r>
      <rPr>
        <b/>
        <vertAlign val="superscript"/>
        <sz val="11"/>
        <color theme="1"/>
        <rFont val="Arial Narrow"/>
        <family val="2"/>
      </rPr>
      <t>ème</t>
    </r>
  </si>
  <si>
    <r>
      <t>41</t>
    </r>
    <r>
      <rPr>
        <b/>
        <vertAlign val="superscript"/>
        <sz val="11"/>
        <color theme="1"/>
        <rFont val="Arial Narrow"/>
        <family val="2"/>
      </rPr>
      <t>ème</t>
    </r>
  </si>
  <si>
    <r>
      <t>31</t>
    </r>
    <r>
      <rPr>
        <b/>
        <vertAlign val="superscript"/>
        <sz val="11"/>
        <color theme="1"/>
        <rFont val="Arial Narrow"/>
        <family val="2"/>
      </rPr>
      <t>ème</t>
    </r>
  </si>
  <si>
    <r>
      <t>21</t>
    </r>
    <r>
      <rPr>
        <b/>
        <vertAlign val="superscript"/>
        <sz val="11"/>
        <color theme="1"/>
        <rFont val="Arial Narrow"/>
        <family val="2"/>
      </rPr>
      <t>ème</t>
    </r>
  </si>
  <si>
    <r>
      <t>71</t>
    </r>
    <r>
      <rPr>
        <b/>
        <vertAlign val="superscript"/>
        <sz val="11"/>
        <color theme="1"/>
        <rFont val="Arial Narrow"/>
        <family val="2"/>
      </rPr>
      <t>ème</t>
    </r>
  </si>
  <si>
    <r>
      <t>1</t>
    </r>
    <r>
      <rPr>
        <b/>
        <vertAlign val="superscript"/>
        <sz val="11"/>
        <color theme="1"/>
        <rFont val="Arial Narrow"/>
        <family val="2"/>
      </rPr>
      <t>ère</t>
    </r>
  </si>
  <si>
    <r>
      <t>2</t>
    </r>
    <r>
      <rPr>
        <b/>
        <vertAlign val="superscript"/>
        <sz val="10"/>
        <color theme="1"/>
        <rFont val="Arial Narrow"/>
        <family val="2"/>
      </rPr>
      <t>ème</t>
    </r>
  </si>
  <si>
    <r>
      <t>3</t>
    </r>
    <r>
      <rPr>
        <b/>
        <vertAlign val="superscript"/>
        <sz val="10"/>
        <color theme="1"/>
        <rFont val="Arial Narrow"/>
        <family val="2"/>
      </rPr>
      <t>ème</t>
    </r>
  </si>
  <si>
    <r>
      <t>4</t>
    </r>
    <r>
      <rPr>
        <b/>
        <vertAlign val="superscript"/>
        <sz val="10"/>
        <color theme="1"/>
        <rFont val="Arial Narrow"/>
        <family val="2"/>
      </rPr>
      <t>ème</t>
    </r>
  </si>
  <si>
    <r>
      <t>5</t>
    </r>
    <r>
      <rPr>
        <b/>
        <vertAlign val="superscript"/>
        <sz val="10"/>
        <color theme="1"/>
        <rFont val="Arial Narrow"/>
        <family val="2"/>
      </rPr>
      <t>ème</t>
    </r>
  </si>
  <si>
    <r>
      <t>6</t>
    </r>
    <r>
      <rPr>
        <b/>
        <vertAlign val="superscript"/>
        <sz val="10"/>
        <color theme="1"/>
        <rFont val="Arial Narrow"/>
        <family val="2"/>
      </rPr>
      <t>ème</t>
    </r>
  </si>
  <si>
    <r>
      <t>7</t>
    </r>
    <r>
      <rPr>
        <b/>
        <vertAlign val="superscript"/>
        <sz val="10"/>
        <color theme="1"/>
        <rFont val="Arial Narrow"/>
        <family val="2"/>
      </rPr>
      <t>ème</t>
    </r>
  </si>
  <si>
    <r>
      <t>8</t>
    </r>
    <r>
      <rPr>
        <b/>
        <vertAlign val="superscript"/>
        <sz val="10"/>
        <color theme="1"/>
        <rFont val="Arial Narrow"/>
        <family val="2"/>
      </rPr>
      <t>ème</t>
    </r>
  </si>
  <si>
    <r>
      <t>9</t>
    </r>
    <r>
      <rPr>
        <b/>
        <vertAlign val="superscript"/>
        <sz val="10"/>
        <color theme="1"/>
        <rFont val="Arial Narrow"/>
        <family val="2"/>
      </rPr>
      <t>ème</t>
    </r>
  </si>
  <si>
    <r>
      <t>10</t>
    </r>
    <r>
      <rPr>
        <b/>
        <vertAlign val="superscript"/>
        <sz val="10"/>
        <color theme="1"/>
        <rFont val="Arial Narrow"/>
        <family val="2"/>
      </rPr>
      <t>ème</t>
    </r>
  </si>
  <si>
    <r>
      <t>11</t>
    </r>
    <r>
      <rPr>
        <b/>
        <vertAlign val="superscript"/>
        <sz val="10"/>
        <color theme="1"/>
        <rFont val="Arial Narrow"/>
        <family val="2"/>
      </rPr>
      <t>ème</t>
    </r>
  </si>
  <si>
    <r>
      <t>12</t>
    </r>
    <r>
      <rPr>
        <b/>
        <vertAlign val="superscript"/>
        <sz val="10"/>
        <color theme="1"/>
        <rFont val="Arial Narrow"/>
        <family val="2"/>
      </rPr>
      <t>ème</t>
    </r>
  </si>
  <si>
    <r>
      <t>13</t>
    </r>
    <r>
      <rPr>
        <b/>
        <vertAlign val="superscript"/>
        <sz val="10"/>
        <color theme="1"/>
        <rFont val="Arial Narrow"/>
        <family val="2"/>
      </rPr>
      <t>ème</t>
    </r>
  </si>
  <si>
    <r>
      <t>14</t>
    </r>
    <r>
      <rPr>
        <b/>
        <vertAlign val="superscript"/>
        <sz val="10"/>
        <color theme="1"/>
        <rFont val="Arial Narrow"/>
        <family val="2"/>
      </rPr>
      <t>ème</t>
    </r>
  </si>
  <si>
    <r>
      <t>15</t>
    </r>
    <r>
      <rPr>
        <b/>
        <vertAlign val="superscript"/>
        <sz val="10"/>
        <color theme="1"/>
        <rFont val="Arial Narrow"/>
        <family val="2"/>
      </rPr>
      <t>ème</t>
    </r>
  </si>
  <si>
    <r>
      <t>16</t>
    </r>
    <r>
      <rPr>
        <b/>
        <vertAlign val="superscript"/>
        <sz val="10"/>
        <color theme="1"/>
        <rFont val="Arial Narrow"/>
        <family val="2"/>
      </rPr>
      <t>ème</t>
    </r>
  </si>
  <si>
    <r>
      <t>17</t>
    </r>
    <r>
      <rPr>
        <b/>
        <vertAlign val="superscript"/>
        <sz val="10"/>
        <color theme="1"/>
        <rFont val="Arial Narrow"/>
        <family val="2"/>
      </rPr>
      <t>ème</t>
    </r>
  </si>
  <si>
    <r>
      <t>18</t>
    </r>
    <r>
      <rPr>
        <b/>
        <vertAlign val="superscript"/>
        <sz val="10"/>
        <color theme="1"/>
        <rFont val="Arial Narrow"/>
        <family val="2"/>
      </rPr>
      <t>ème</t>
    </r>
  </si>
  <si>
    <r>
      <t>19</t>
    </r>
    <r>
      <rPr>
        <b/>
        <vertAlign val="superscript"/>
        <sz val="10"/>
        <color theme="1"/>
        <rFont val="Arial Narrow"/>
        <family val="2"/>
      </rPr>
      <t>ème</t>
    </r>
  </si>
  <si>
    <r>
      <t>20</t>
    </r>
    <r>
      <rPr>
        <b/>
        <vertAlign val="superscript"/>
        <sz val="10"/>
        <color theme="1"/>
        <rFont val="Arial Narrow"/>
        <family val="2"/>
      </rPr>
      <t>ème</t>
    </r>
  </si>
  <si>
    <r>
      <t>21er</t>
    </r>
    <r>
      <rPr>
        <b/>
        <vertAlign val="superscript"/>
        <sz val="10"/>
        <color theme="1"/>
        <rFont val="Arial Narrow"/>
        <family val="2"/>
      </rPr>
      <t/>
    </r>
  </si>
  <si>
    <r>
      <t>22</t>
    </r>
    <r>
      <rPr>
        <b/>
        <vertAlign val="superscript"/>
        <sz val="10"/>
        <color theme="1"/>
        <rFont val="Arial Narrow"/>
        <family val="2"/>
      </rPr>
      <t>ème</t>
    </r>
  </si>
  <si>
    <r>
      <t>23</t>
    </r>
    <r>
      <rPr>
        <b/>
        <vertAlign val="superscript"/>
        <sz val="10"/>
        <color theme="1"/>
        <rFont val="Arial Narrow"/>
        <family val="2"/>
      </rPr>
      <t>ème</t>
    </r>
  </si>
  <si>
    <r>
      <t>24</t>
    </r>
    <r>
      <rPr>
        <b/>
        <vertAlign val="superscript"/>
        <sz val="10"/>
        <color theme="1"/>
        <rFont val="Arial Narrow"/>
        <family val="2"/>
      </rPr>
      <t>ème</t>
    </r>
  </si>
  <si>
    <r>
      <t>25</t>
    </r>
    <r>
      <rPr>
        <b/>
        <vertAlign val="superscript"/>
        <sz val="10"/>
        <color theme="1"/>
        <rFont val="Arial Narrow"/>
        <family val="2"/>
      </rPr>
      <t>ème</t>
    </r>
  </si>
  <si>
    <r>
      <t>26</t>
    </r>
    <r>
      <rPr>
        <b/>
        <vertAlign val="superscript"/>
        <sz val="10"/>
        <color theme="1"/>
        <rFont val="Arial Narrow"/>
        <family val="2"/>
      </rPr>
      <t>ème</t>
    </r>
  </si>
  <si>
    <r>
      <t>27</t>
    </r>
    <r>
      <rPr>
        <b/>
        <vertAlign val="superscript"/>
        <sz val="10"/>
        <color theme="1"/>
        <rFont val="Arial Narrow"/>
        <family val="2"/>
      </rPr>
      <t>ème</t>
    </r>
  </si>
  <si>
    <r>
      <t>28</t>
    </r>
    <r>
      <rPr>
        <b/>
        <vertAlign val="superscript"/>
        <sz val="10"/>
        <color theme="1"/>
        <rFont val="Arial Narrow"/>
        <family val="2"/>
      </rPr>
      <t>ème</t>
    </r>
  </si>
  <si>
    <r>
      <t>29</t>
    </r>
    <r>
      <rPr>
        <b/>
        <vertAlign val="superscript"/>
        <sz val="10"/>
        <color theme="1"/>
        <rFont val="Arial Narrow"/>
        <family val="2"/>
      </rPr>
      <t>ème</t>
    </r>
  </si>
  <si>
    <r>
      <t>30</t>
    </r>
    <r>
      <rPr>
        <b/>
        <vertAlign val="superscript"/>
        <sz val="10"/>
        <color theme="1"/>
        <rFont val="Arial Narrow"/>
        <family val="2"/>
      </rPr>
      <t>ème</t>
    </r>
  </si>
  <si>
    <r>
      <t>31er</t>
    </r>
    <r>
      <rPr>
        <b/>
        <vertAlign val="superscript"/>
        <sz val="10"/>
        <color theme="1"/>
        <rFont val="Arial Narrow"/>
        <family val="2"/>
      </rPr>
      <t/>
    </r>
  </si>
  <si>
    <r>
      <t>32</t>
    </r>
    <r>
      <rPr>
        <b/>
        <vertAlign val="superscript"/>
        <sz val="10"/>
        <color theme="1"/>
        <rFont val="Arial Narrow"/>
        <family val="2"/>
      </rPr>
      <t>ème</t>
    </r>
  </si>
  <si>
    <r>
      <t>33</t>
    </r>
    <r>
      <rPr>
        <b/>
        <vertAlign val="superscript"/>
        <sz val="10"/>
        <color theme="1"/>
        <rFont val="Arial Narrow"/>
        <family val="2"/>
      </rPr>
      <t>ème</t>
    </r>
  </si>
  <si>
    <r>
      <t>34</t>
    </r>
    <r>
      <rPr>
        <b/>
        <vertAlign val="superscript"/>
        <sz val="10"/>
        <color theme="1"/>
        <rFont val="Arial Narrow"/>
        <family val="2"/>
      </rPr>
      <t>ème</t>
    </r>
  </si>
  <si>
    <r>
      <t>35</t>
    </r>
    <r>
      <rPr>
        <b/>
        <vertAlign val="superscript"/>
        <sz val="10"/>
        <color theme="1"/>
        <rFont val="Arial Narrow"/>
        <family val="2"/>
      </rPr>
      <t>ème</t>
    </r>
  </si>
  <si>
    <r>
      <t>36</t>
    </r>
    <r>
      <rPr>
        <b/>
        <vertAlign val="superscript"/>
        <sz val="10"/>
        <color theme="1"/>
        <rFont val="Arial Narrow"/>
        <family val="2"/>
      </rPr>
      <t>ème</t>
    </r>
  </si>
  <si>
    <r>
      <t>37</t>
    </r>
    <r>
      <rPr>
        <b/>
        <vertAlign val="superscript"/>
        <sz val="10"/>
        <color theme="1"/>
        <rFont val="Arial Narrow"/>
        <family val="2"/>
      </rPr>
      <t>ème</t>
    </r>
  </si>
  <si>
    <r>
      <t>38</t>
    </r>
    <r>
      <rPr>
        <b/>
        <vertAlign val="superscript"/>
        <sz val="10"/>
        <color theme="1"/>
        <rFont val="Arial Narrow"/>
        <family val="2"/>
      </rPr>
      <t>ème</t>
    </r>
  </si>
  <si>
    <r>
      <t>39</t>
    </r>
    <r>
      <rPr>
        <b/>
        <vertAlign val="superscript"/>
        <sz val="10"/>
        <color theme="1"/>
        <rFont val="Arial Narrow"/>
        <family val="2"/>
      </rPr>
      <t>ème</t>
    </r>
  </si>
  <si>
    <r>
      <t>40</t>
    </r>
    <r>
      <rPr>
        <b/>
        <vertAlign val="superscript"/>
        <sz val="10"/>
        <color theme="1"/>
        <rFont val="Arial Narrow"/>
        <family val="2"/>
      </rPr>
      <t>ème</t>
    </r>
  </si>
  <si>
    <r>
      <t>41er</t>
    </r>
    <r>
      <rPr>
        <b/>
        <vertAlign val="superscript"/>
        <sz val="10"/>
        <color theme="1"/>
        <rFont val="Arial Narrow"/>
        <family val="2"/>
      </rPr>
      <t/>
    </r>
  </si>
  <si>
    <r>
      <t>42</t>
    </r>
    <r>
      <rPr>
        <b/>
        <vertAlign val="superscript"/>
        <sz val="10"/>
        <color theme="1"/>
        <rFont val="Arial Narrow"/>
        <family val="2"/>
      </rPr>
      <t>ème</t>
    </r>
  </si>
  <si>
    <r>
      <t>43</t>
    </r>
    <r>
      <rPr>
        <b/>
        <vertAlign val="superscript"/>
        <sz val="10"/>
        <color theme="1"/>
        <rFont val="Arial Narrow"/>
        <family val="2"/>
      </rPr>
      <t>ème</t>
    </r>
  </si>
  <si>
    <r>
      <t>44</t>
    </r>
    <r>
      <rPr>
        <b/>
        <vertAlign val="superscript"/>
        <sz val="10"/>
        <color theme="1"/>
        <rFont val="Arial Narrow"/>
        <family val="2"/>
      </rPr>
      <t>ème</t>
    </r>
  </si>
  <si>
    <r>
      <t>45</t>
    </r>
    <r>
      <rPr>
        <b/>
        <vertAlign val="superscript"/>
        <sz val="10"/>
        <color theme="1"/>
        <rFont val="Arial Narrow"/>
        <family val="2"/>
      </rPr>
      <t>ème</t>
    </r>
  </si>
  <si>
    <r>
      <t>46</t>
    </r>
    <r>
      <rPr>
        <b/>
        <vertAlign val="superscript"/>
        <sz val="10"/>
        <color theme="1"/>
        <rFont val="Arial Narrow"/>
        <family val="2"/>
      </rPr>
      <t>ème</t>
    </r>
  </si>
  <si>
    <r>
      <t>47</t>
    </r>
    <r>
      <rPr>
        <b/>
        <vertAlign val="superscript"/>
        <sz val="10"/>
        <color theme="1"/>
        <rFont val="Arial Narrow"/>
        <family val="2"/>
      </rPr>
      <t>ème</t>
    </r>
  </si>
  <si>
    <r>
      <t>48</t>
    </r>
    <r>
      <rPr>
        <b/>
        <vertAlign val="superscript"/>
        <sz val="10"/>
        <color theme="1"/>
        <rFont val="Arial Narrow"/>
        <family val="2"/>
      </rPr>
      <t>ème</t>
    </r>
  </si>
  <si>
    <r>
      <t>49</t>
    </r>
    <r>
      <rPr>
        <b/>
        <vertAlign val="superscript"/>
        <sz val="10"/>
        <color theme="1"/>
        <rFont val="Arial Narrow"/>
        <family val="2"/>
      </rPr>
      <t>ème</t>
    </r>
  </si>
  <si>
    <r>
      <t>50</t>
    </r>
    <r>
      <rPr>
        <b/>
        <vertAlign val="superscript"/>
        <sz val="10"/>
        <color theme="1"/>
        <rFont val="Arial Narrow"/>
        <family val="2"/>
      </rPr>
      <t>ème</t>
    </r>
  </si>
  <si>
    <r>
      <t>51er</t>
    </r>
    <r>
      <rPr>
        <b/>
        <vertAlign val="superscript"/>
        <sz val="10"/>
        <color theme="1"/>
        <rFont val="Arial Narrow"/>
        <family val="2"/>
      </rPr>
      <t/>
    </r>
  </si>
  <si>
    <r>
      <t>52</t>
    </r>
    <r>
      <rPr>
        <b/>
        <vertAlign val="superscript"/>
        <sz val="10"/>
        <color theme="1"/>
        <rFont val="Arial Narrow"/>
        <family val="2"/>
      </rPr>
      <t>ème</t>
    </r>
  </si>
  <si>
    <r>
      <t>53</t>
    </r>
    <r>
      <rPr>
        <b/>
        <vertAlign val="superscript"/>
        <sz val="10"/>
        <color theme="1"/>
        <rFont val="Arial Narrow"/>
        <family val="2"/>
      </rPr>
      <t>ème</t>
    </r>
  </si>
  <si>
    <r>
      <t>54</t>
    </r>
    <r>
      <rPr>
        <b/>
        <vertAlign val="superscript"/>
        <sz val="10"/>
        <color theme="1"/>
        <rFont val="Arial Narrow"/>
        <family val="2"/>
      </rPr>
      <t>ème</t>
    </r>
  </si>
  <si>
    <r>
      <t>55</t>
    </r>
    <r>
      <rPr>
        <b/>
        <vertAlign val="superscript"/>
        <sz val="10"/>
        <color theme="1"/>
        <rFont val="Arial Narrow"/>
        <family val="2"/>
      </rPr>
      <t>ème</t>
    </r>
  </si>
  <si>
    <r>
      <t>56</t>
    </r>
    <r>
      <rPr>
        <b/>
        <vertAlign val="superscript"/>
        <sz val="10"/>
        <color theme="1"/>
        <rFont val="Arial Narrow"/>
        <family val="2"/>
      </rPr>
      <t>ème</t>
    </r>
  </si>
  <si>
    <r>
      <t>57</t>
    </r>
    <r>
      <rPr>
        <b/>
        <vertAlign val="superscript"/>
        <sz val="10"/>
        <color theme="1"/>
        <rFont val="Arial Narrow"/>
        <family val="2"/>
      </rPr>
      <t>ème</t>
    </r>
  </si>
  <si>
    <r>
      <t>58</t>
    </r>
    <r>
      <rPr>
        <b/>
        <vertAlign val="superscript"/>
        <sz val="10"/>
        <color theme="1"/>
        <rFont val="Arial Narrow"/>
        <family val="2"/>
      </rPr>
      <t>ème</t>
    </r>
  </si>
  <si>
    <r>
      <t>59</t>
    </r>
    <r>
      <rPr>
        <b/>
        <vertAlign val="superscript"/>
        <sz val="10"/>
        <color theme="1"/>
        <rFont val="Arial Narrow"/>
        <family val="2"/>
      </rPr>
      <t>ème</t>
    </r>
  </si>
  <si>
    <r>
      <t>60</t>
    </r>
    <r>
      <rPr>
        <b/>
        <vertAlign val="superscript"/>
        <sz val="10"/>
        <color theme="1"/>
        <rFont val="Arial Narrow"/>
        <family val="2"/>
      </rPr>
      <t>ème</t>
    </r>
  </si>
  <si>
    <r>
      <t>61er</t>
    </r>
    <r>
      <rPr>
        <b/>
        <vertAlign val="superscript"/>
        <sz val="10"/>
        <color theme="1"/>
        <rFont val="Arial Narrow"/>
        <family val="2"/>
      </rPr>
      <t/>
    </r>
  </si>
  <si>
    <r>
      <t>62</t>
    </r>
    <r>
      <rPr>
        <b/>
        <vertAlign val="superscript"/>
        <sz val="10"/>
        <color theme="1"/>
        <rFont val="Arial Narrow"/>
        <family val="2"/>
      </rPr>
      <t>ème</t>
    </r>
  </si>
  <si>
    <r>
      <t>63</t>
    </r>
    <r>
      <rPr>
        <b/>
        <vertAlign val="superscript"/>
        <sz val="10"/>
        <color theme="1"/>
        <rFont val="Arial Narrow"/>
        <family val="2"/>
      </rPr>
      <t>ème</t>
    </r>
  </si>
  <si>
    <r>
      <t>64</t>
    </r>
    <r>
      <rPr>
        <b/>
        <vertAlign val="superscript"/>
        <sz val="10"/>
        <color theme="1"/>
        <rFont val="Arial Narrow"/>
        <family val="2"/>
      </rPr>
      <t>ème</t>
    </r>
  </si>
  <si>
    <r>
      <t>65</t>
    </r>
    <r>
      <rPr>
        <b/>
        <vertAlign val="superscript"/>
        <sz val="10"/>
        <color theme="1"/>
        <rFont val="Arial Narrow"/>
        <family val="2"/>
      </rPr>
      <t>ème</t>
    </r>
  </si>
  <si>
    <r>
      <t>66</t>
    </r>
    <r>
      <rPr>
        <b/>
        <vertAlign val="superscript"/>
        <sz val="10"/>
        <color theme="1"/>
        <rFont val="Arial Narrow"/>
        <family val="2"/>
      </rPr>
      <t>ème</t>
    </r>
  </si>
  <si>
    <r>
      <t>67</t>
    </r>
    <r>
      <rPr>
        <b/>
        <vertAlign val="superscript"/>
        <sz val="10"/>
        <color theme="1"/>
        <rFont val="Arial Narrow"/>
        <family val="2"/>
      </rPr>
      <t>ème</t>
    </r>
  </si>
  <si>
    <r>
      <t>68</t>
    </r>
    <r>
      <rPr>
        <b/>
        <vertAlign val="superscript"/>
        <sz val="10"/>
        <color theme="1"/>
        <rFont val="Arial Narrow"/>
        <family val="2"/>
      </rPr>
      <t>ème</t>
    </r>
  </si>
  <si>
    <r>
      <t>1</t>
    </r>
    <r>
      <rPr>
        <b/>
        <vertAlign val="superscript"/>
        <sz val="10"/>
        <color theme="1"/>
        <rFont val="Arial Narrow"/>
        <family val="2"/>
      </rPr>
      <t>ère</t>
    </r>
  </si>
  <si>
    <r>
      <t>100</t>
    </r>
    <r>
      <rPr>
        <b/>
        <vertAlign val="superscript"/>
        <sz val="11"/>
        <color theme="1"/>
        <rFont val="Arial Narrow"/>
        <family val="2"/>
      </rPr>
      <t>ème</t>
    </r>
  </si>
  <si>
    <r>
      <t>101er</t>
    </r>
    <r>
      <rPr>
        <b/>
        <vertAlign val="superscript"/>
        <sz val="11"/>
        <color theme="1"/>
        <rFont val="Arial Narrow"/>
        <family val="2"/>
      </rPr>
      <t/>
    </r>
  </si>
  <si>
    <r>
      <t>81</t>
    </r>
    <r>
      <rPr>
        <b/>
        <vertAlign val="superscript"/>
        <sz val="11"/>
        <color theme="1"/>
        <rFont val="Arial Narrow"/>
        <family val="2"/>
      </rPr>
      <t>ème</t>
    </r>
  </si>
  <si>
    <r>
      <t>61</t>
    </r>
    <r>
      <rPr>
        <b/>
        <vertAlign val="superscript"/>
        <sz val="11"/>
        <color theme="1"/>
        <rFont val="Arial Narrow"/>
        <family val="2"/>
      </rPr>
      <t>ème</t>
    </r>
  </si>
  <si>
    <r>
      <t>CLASSE: 10</t>
    </r>
    <r>
      <rPr>
        <b/>
        <vertAlign val="superscript"/>
        <sz val="11"/>
        <color indexed="8"/>
        <rFont val="Arial Narrow"/>
        <family val="2"/>
      </rPr>
      <t>ème</t>
    </r>
    <r>
      <rPr>
        <b/>
        <sz val="11"/>
        <color indexed="8"/>
        <rFont val="Arial Narrow"/>
        <family val="2"/>
      </rPr>
      <t xml:space="preserve"> ANNEE   A</t>
    </r>
  </si>
  <si>
    <r>
      <t>CLASSE: 10</t>
    </r>
    <r>
      <rPr>
        <b/>
        <vertAlign val="superscript"/>
        <sz val="11"/>
        <color indexed="8"/>
        <rFont val="Arial Narrow"/>
        <family val="2"/>
      </rPr>
      <t>ème</t>
    </r>
    <r>
      <rPr>
        <b/>
        <sz val="11"/>
        <color indexed="8"/>
        <rFont val="Arial Narrow"/>
        <family val="2"/>
      </rPr>
      <t xml:space="preserve"> ANNEE  B</t>
    </r>
  </si>
  <si>
    <t>TABLEAU STATISTIQUE</t>
  </si>
  <si>
    <t>Fille</t>
  </si>
  <si>
    <t>Garçon</t>
  </si>
  <si>
    <t>Total</t>
  </si>
  <si>
    <t>Effectif</t>
  </si>
  <si>
    <t>Ont été évalués</t>
  </si>
  <si>
    <t>N'ont pas été évalués</t>
  </si>
  <si>
    <t>Ont eu la moyenne</t>
  </si>
  <si>
    <t>N'ont pas eu la moyenne</t>
  </si>
  <si>
    <t>Taux de réussite (en %)</t>
  </si>
  <si>
    <t>Coyah, le 10 avril 2018</t>
  </si>
  <si>
    <t>Le Professeur principal</t>
  </si>
  <si>
    <t>Le Censeur</t>
  </si>
  <si>
    <t>M. CAMARA Alhassane Maguely</t>
  </si>
  <si>
    <t>Coyah, le 21/02/2022</t>
  </si>
  <si>
    <t>M. BANGOURA Aboubacar</t>
  </si>
  <si>
    <t>M. CAMARA Mohamed Bibatou</t>
  </si>
  <si>
    <t>Coyah, le 22 Fevrier 2022</t>
  </si>
  <si>
    <t>M. DIARRA Ibrahima</t>
  </si>
  <si>
    <t>Elhadj Abdoulaye DIALLO</t>
  </si>
  <si>
    <r>
      <t>102</t>
    </r>
    <r>
      <rPr>
        <b/>
        <vertAlign val="superscript"/>
        <sz val="11"/>
        <color theme="1"/>
        <rFont val="Arial Narrow"/>
        <family val="2"/>
      </rPr>
      <t>ème</t>
    </r>
  </si>
  <si>
    <t>MOYENNE COURS</t>
  </si>
  <si>
    <t>MOYENNE COMPOSITION</t>
  </si>
  <si>
    <t>MOYENNE 1er SEMESTRE</t>
  </si>
  <si>
    <r>
      <t>CLASSE: 11</t>
    </r>
    <r>
      <rPr>
        <b/>
        <vertAlign val="superscript"/>
        <sz val="11"/>
        <color indexed="8"/>
        <rFont val="Arial Narrow"/>
        <family val="2"/>
      </rPr>
      <t>ème</t>
    </r>
    <r>
      <rPr>
        <b/>
        <sz val="11"/>
        <color indexed="8"/>
        <rFont val="Arial Narrow"/>
        <family val="2"/>
      </rPr>
      <t xml:space="preserve"> ANNEE  SS</t>
    </r>
  </si>
  <si>
    <t>M. SACKO Seydou</t>
  </si>
  <si>
    <t>Coyah, le 22 fevrier 2022</t>
  </si>
  <si>
    <t>Moyenne Cours</t>
  </si>
  <si>
    <t>Moyenne Composition</t>
  </si>
  <si>
    <t>Moyenne 1er Semetre</t>
  </si>
  <si>
    <t>M. BANGOURA Mohamed</t>
  </si>
  <si>
    <r>
      <t>CLASSE: 12</t>
    </r>
    <r>
      <rPr>
        <b/>
        <vertAlign val="superscript"/>
        <sz val="11"/>
        <color indexed="8"/>
        <rFont val="Arial Narrow"/>
        <family val="2"/>
      </rPr>
      <t>ème</t>
    </r>
    <r>
      <rPr>
        <b/>
        <sz val="11"/>
        <color indexed="8"/>
        <rFont val="Arial Narrow"/>
        <family val="2"/>
      </rPr>
      <t xml:space="preserve"> ANNEE  SE</t>
    </r>
  </si>
  <si>
    <t>M. DIABY Mohamed Sira</t>
  </si>
  <si>
    <t>Moyenne 1er semestre</t>
  </si>
  <si>
    <r>
      <t>CLASSE: 12</t>
    </r>
    <r>
      <rPr>
        <b/>
        <vertAlign val="superscript"/>
        <sz val="11"/>
        <color indexed="8"/>
        <rFont val="Arial Narrow"/>
        <family val="2"/>
      </rPr>
      <t>ème</t>
    </r>
    <r>
      <rPr>
        <b/>
        <sz val="11"/>
        <color indexed="8"/>
        <rFont val="Arial Narrow"/>
        <family val="2"/>
      </rPr>
      <t xml:space="preserve"> ANNEE  SS</t>
    </r>
  </si>
  <si>
    <t>RANG</t>
  </si>
  <si>
    <t>PRENOMS NOM</t>
  </si>
  <si>
    <r>
      <t xml:space="preserve">CLASSE: </t>
    </r>
    <r>
      <rPr>
        <b/>
        <sz val="11"/>
        <color indexed="8"/>
        <rFont val="Arial Narrow"/>
        <family val="2"/>
      </rPr>
      <t xml:space="preserve"> TSS</t>
    </r>
  </si>
  <si>
    <r>
      <t xml:space="preserve">CLASSE: </t>
    </r>
    <r>
      <rPr>
        <b/>
        <sz val="11"/>
        <color indexed="8"/>
        <rFont val="Arial Narrow"/>
        <family val="2"/>
      </rPr>
      <t xml:space="preserve"> TSE</t>
    </r>
  </si>
  <si>
    <r>
      <t xml:space="preserve">CLASSE: </t>
    </r>
    <r>
      <rPr>
        <b/>
        <sz val="11"/>
        <color indexed="8"/>
        <rFont val="Arial Narrow"/>
        <family val="2"/>
      </rPr>
      <t xml:space="preserve"> TSM</t>
    </r>
  </si>
  <si>
    <r>
      <t>103</t>
    </r>
    <r>
      <rPr>
        <b/>
        <vertAlign val="superscript"/>
        <sz val="11"/>
        <color theme="1"/>
        <rFont val="Arial Narrow"/>
        <family val="2"/>
      </rPr>
      <t>ème</t>
    </r>
  </si>
  <si>
    <r>
      <t>104</t>
    </r>
    <r>
      <rPr>
        <b/>
        <vertAlign val="superscript"/>
        <sz val="11"/>
        <color theme="1"/>
        <rFont val="Arial Narrow"/>
        <family val="2"/>
      </rPr>
      <t>ème</t>
    </r>
  </si>
  <si>
    <r>
      <t>105</t>
    </r>
    <r>
      <rPr>
        <b/>
        <vertAlign val="superscript"/>
        <sz val="11"/>
        <color theme="1"/>
        <rFont val="Arial Narrow"/>
        <family val="2"/>
      </rPr>
      <t>ème</t>
    </r>
  </si>
  <si>
    <r>
      <t>106</t>
    </r>
    <r>
      <rPr>
        <b/>
        <vertAlign val="superscript"/>
        <sz val="11"/>
        <color theme="1"/>
        <rFont val="Arial Narrow"/>
        <family val="2"/>
      </rPr>
      <t>ème</t>
    </r>
  </si>
  <si>
    <r>
      <t>107</t>
    </r>
    <r>
      <rPr>
        <b/>
        <vertAlign val="superscript"/>
        <sz val="11"/>
        <color theme="1"/>
        <rFont val="Arial Narrow"/>
        <family val="2"/>
      </rPr>
      <t>ème</t>
    </r>
  </si>
  <si>
    <r>
      <t>108</t>
    </r>
    <r>
      <rPr>
        <b/>
        <vertAlign val="superscript"/>
        <sz val="11"/>
        <color theme="1"/>
        <rFont val="Arial Narrow"/>
        <family val="2"/>
      </rPr>
      <t>ème</t>
    </r>
  </si>
  <si>
    <r>
      <t>109</t>
    </r>
    <r>
      <rPr>
        <b/>
        <vertAlign val="superscript"/>
        <sz val="11"/>
        <color theme="1"/>
        <rFont val="Arial Narrow"/>
        <family val="2"/>
      </rPr>
      <t>ème</t>
    </r>
  </si>
  <si>
    <r>
      <t>CLASSE: 11</t>
    </r>
    <r>
      <rPr>
        <b/>
        <vertAlign val="superscript"/>
        <sz val="11"/>
        <color indexed="8"/>
        <rFont val="Arial Narrow"/>
        <family val="2"/>
      </rPr>
      <t>ème</t>
    </r>
    <r>
      <rPr>
        <b/>
        <sz val="11"/>
        <color indexed="8"/>
        <rFont val="Arial Narrow"/>
        <family val="2"/>
      </rPr>
      <t xml:space="preserve"> ANNEE  SL</t>
    </r>
  </si>
  <si>
    <r>
      <t>1</t>
    </r>
    <r>
      <rPr>
        <b/>
        <vertAlign val="superscript"/>
        <sz val="10"/>
        <color theme="1"/>
        <rFont val="Arial Narrow"/>
        <family val="2"/>
      </rPr>
      <t>er</t>
    </r>
  </si>
  <si>
    <r>
      <t>91</t>
    </r>
    <r>
      <rPr>
        <b/>
        <vertAlign val="superscript"/>
        <sz val="11"/>
        <color theme="1"/>
        <rFont val="Arial Narrow"/>
        <family val="2"/>
      </rPr>
      <t>ème</t>
    </r>
    <r>
      <rPr>
        <b/>
        <sz val="11"/>
        <color theme="1"/>
        <rFont val="Arial Narrow"/>
        <family val="2"/>
      </rPr>
      <t xml:space="preserve"> </t>
    </r>
  </si>
  <si>
    <r>
      <t>1</t>
    </r>
    <r>
      <rPr>
        <b/>
        <vertAlign val="superscript"/>
        <sz val="11"/>
        <color theme="1"/>
        <rFont val="Arial Narrow"/>
        <family val="2"/>
      </rPr>
      <t>ème</t>
    </r>
  </si>
  <si>
    <r>
      <t>CLASSE: 12</t>
    </r>
    <r>
      <rPr>
        <b/>
        <vertAlign val="superscript"/>
        <sz val="11"/>
        <color indexed="8"/>
        <rFont val="Arial Narrow"/>
        <family val="2"/>
      </rPr>
      <t>ème</t>
    </r>
    <r>
      <rPr>
        <b/>
        <sz val="11"/>
        <color indexed="8"/>
        <rFont val="Arial Narrow"/>
        <family val="2"/>
      </rPr>
      <t xml:space="preserve"> ANNEE  SM</t>
    </r>
  </si>
  <si>
    <r>
      <t>2</t>
    </r>
    <r>
      <rPr>
        <b/>
        <vertAlign val="superscript"/>
        <sz val="11"/>
        <color theme="1"/>
        <rFont val="Arial Narrow"/>
        <family val="2"/>
      </rPr>
      <t>er</t>
    </r>
  </si>
  <si>
    <t>Moyenne 2ème Semestre</t>
  </si>
  <si>
    <t>Moyenne Annuelle</t>
  </si>
  <si>
    <r>
      <t>RESULTAT DES COMPOSITIONS DU 2</t>
    </r>
    <r>
      <rPr>
        <b/>
        <vertAlign val="superscript"/>
        <sz val="11"/>
        <color indexed="8"/>
        <rFont val="Arial Narrow"/>
        <family val="2"/>
      </rPr>
      <t>EME</t>
    </r>
    <r>
      <rPr>
        <b/>
        <sz val="11"/>
        <color indexed="8"/>
        <rFont val="Arial Narrow"/>
        <family val="2"/>
      </rPr>
      <t xml:space="preserve"> SEMESTRE DE L'ANNEE SCOLAIRE 2021 - 2022</t>
    </r>
  </si>
  <si>
    <t>Sont déclarés admis aux compositions deuxième  semestre de l'année scolaire 2021 - 2022 du GSP                                    Mahamed CAMARA (MOH-CA), les élèves dont les Prénoms et NOM suivent par ordre de mérite:</t>
  </si>
  <si>
    <t>Sont déclarés admis aux compositions deuxième  semestre de l'année scolaire 2021 - 2022 du GSP                                                   Mahamed CAMARA (MOH-CA), les élèves dont les Prénoms et NOM suivent par ordre de mérite:</t>
  </si>
  <si>
    <r>
      <t>RESULTAT DES COMPOSITIONS DE FIN</t>
    </r>
    <r>
      <rPr>
        <b/>
        <sz val="11"/>
        <color indexed="8"/>
        <rFont val="Arial Narrow"/>
        <family val="2"/>
      </rPr>
      <t xml:space="preserve"> D'ANNEE SCOLAIRE 2021 - 2022</t>
    </r>
  </si>
  <si>
    <t>Sont déclarés admis aux compositions deuxième  semestre de l'année scolaire 2021 - 2022 du GSP                                                           Mahamed CAMARA (MOH-CA), les élèves dont les Prénoms et NOM suivent par ordre de mérite:</t>
  </si>
  <si>
    <t>Sont déclarés admis aux compositions deuxième  semestre de l'année scolaire 2021 - 2022 du GSP                                                          Mahamed CAMARA (MOH-CA), les élèves dont les Prénoms et NOM suivent par ordre de mérite:</t>
  </si>
  <si>
    <t>Sont déclarés admis aux compositions de fin d'année scolaire 2021 - 2022 du GSP                                                          Mahamed CAMARA (MOH-CA), les élèves dont les Prénoms et NOM suivent par ordre de mérite:</t>
  </si>
  <si>
    <t>Moyenne 2ème Semetre</t>
  </si>
  <si>
    <t>Sont déclarés admis aux compositions du deuxième semestre de l'année scolaire 2021 - 2022 du GSP Mahamed CAMARA (MOH-CA), les élèves dont les Prénoms et NOM suivent par ordre de mérite:</t>
  </si>
  <si>
    <t>MOYENNE 2ème SEMESTRE</t>
  </si>
  <si>
    <r>
      <t>RESULTAT DES COMPOSITIONS DU 2ème</t>
    </r>
    <r>
      <rPr>
        <b/>
        <sz val="11"/>
        <color indexed="8"/>
        <rFont val="Arial Narrow"/>
        <family val="2"/>
      </rPr>
      <t xml:space="preserve"> SEMESTRE DE L'ANNEE SCOLAIRE 2021 - 2022</t>
    </r>
  </si>
  <si>
    <t>Moyenne 2ème semestre</t>
  </si>
  <si>
    <t>Sont déclarés admis aux compositions du deuxième  semestre de l'année scolaire 2021 - 2022 du GSP Mahamed CAMARA (MOH-CA), les élèves dont les Prénoms et NOM suivent par ordre de mérite:</t>
  </si>
  <si>
    <t>IRE: KINDIA+AA1:G43</t>
  </si>
  <si>
    <r>
      <t>RESULTAT DES COMPOSITIONS DU 2ème</t>
    </r>
    <r>
      <rPr>
        <b/>
        <sz val="11"/>
        <color indexed="8"/>
        <rFont val="Arial Narrow"/>
        <family val="2"/>
      </rPr>
      <t xml:space="preserve"> SEMESTRE DE L'ANNEE SCOLAIRE 2021 - 20222</t>
    </r>
  </si>
  <si>
    <t>Sont déclarés admis aux compositions deuxième  semestre de l'année scolaire 2021 - 2022 du  GSP Mahamed CAMARA (MOH-CA), les élèves dont les Prénoms et NOM suivent par ordre de mérite:</t>
  </si>
  <si>
    <r>
      <t>38</t>
    </r>
    <r>
      <rPr>
        <b/>
        <vertAlign val="superscript"/>
        <sz val="11"/>
        <color theme="1"/>
        <rFont val="Arial Narrow"/>
        <family val="2"/>
      </rPr>
      <t>ème</t>
    </r>
    <r>
      <rPr>
        <b/>
        <sz val="11"/>
        <color theme="1"/>
        <rFont val="Arial Narrow"/>
        <family val="2"/>
      </rPr>
      <t>ex</t>
    </r>
  </si>
  <si>
    <t>ABDOUL SALAM DIALLO</t>
  </si>
  <si>
    <t>ABDOULAYE   KOUROUMA</t>
  </si>
  <si>
    <t>AICHA     TRAORE</t>
  </si>
  <si>
    <t>AICHA  LAMINE   SOUMAH</t>
  </si>
  <si>
    <t>AMADOU  BOBO  BALDE</t>
  </si>
  <si>
    <t>AMADOU   OURY    DIALLO</t>
  </si>
  <si>
    <t>AMINATA  SYLLA</t>
  </si>
  <si>
    <t>ARAFAN   KOITA</t>
  </si>
  <si>
    <t>BERNADETTE KOVANA  KOLIE</t>
  </si>
  <si>
    <t>BINTOU   GBE CAMARA</t>
  </si>
  <si>
    <t>ANGELINE   DANIEL SANGBALAMOU</t>
  </si>
  <si>
    <t>FANTA   SYLLA</t>
  </si>
  <si>
    <t>DAN  LOUA</t>
  </si>
  <si>
    <t>EVELINE    SAGNO</t>
  </si>
  <si>
    <t>FATOUMATA   MARA</t>
  </si>
  <si>
    <t>FELEMATOU  KABA</t>
  </si>
  <si>
    <t>GAMET   BEAVOGUI</t>
  </si>
  <si>
    <t>HASSANATOU  BARRY</t>
  </si>
  <si>
    <t>HASSANATOU    DIALLO</t>
  </si>
  <si>
    <t>HENRIETE  CAMARA</t>
  </si>
  <si>
    <t>IBRAHIMA     BALDE</t>
  </si>
  <si>
    <t>IBRAHIMA   FYSSYRY   SOW</t>
  </si>
  <si>
    <t>JULIENNE   SAGNO</t>
  </si>
  <si>
    <t>JUNIORE    DIAMANDE</t>
  </si>
  <si>
    <t>MAMADOU  BARRY</t>
  </si>
  <si>
    <t>MAMADOU   ALARENY  BAH</t>
  </si>
  <si>
    <t>MARIAME    BARRY</t>
  </si>
  <si>
    <t>MAMADOU   BAILLO  DIALLO</t>
  </si>
  <si>
    <t>MAMADOU  CIRE DIALLO</t>
  </si>
  <si>
    <t>MAMADOU   CELLOU BAH</t>
  </si>
  <si>
    <t>MARIAME MARIE  TOURE</t>
  </si>
  <si>
    <t>MATHIAS    HABA</t>
  </si>
  <si>
    <t>MAXIMIN     SOLIE</t>
  </si>
  <si>
    <t>MICHEL    LAMAH</t>
  </si>
  <si>
    <t>MOHAMED   LAMINE   DIALLO</t>
  </si>
  <si>
    <t>MOUSSA   CONDE</t>
  </si>
  <si>
    <t>MORY   CONDE</t>
  </si>
  <si>
    <t>OUMAR  SAKHO</t>
  </si>
  <si>
    <t>OUMOU  HAWA   BARRY</t>
  </si>
  <si>
    <t>OUMOU   HAWA  DIALLO</t>
  </si>
  <si>
    <t>OUSMANE   BARRY</t>
  </si>
  <si>
    <t>OUSMANE  BELTONE TRAORE</t>
  </si>
  <si>
    <t>OUSMANE   SOW</t>
  </si>
  <si>
    <t>PELAGIE   CONDE</t>
  </si>
  <si>
    <t>PIERRE  THEA</t>
  </si>
  <si>
    <t>ROGER    LAMAH</t>
  </si>
  <si>
    <t>ROUGUIATOU   DIAKITE</t>
  </si>
  <si>
    <t>THIERNO IDIATOU SOW</t>
  </si>
  <si>
    <t>THIERNO  OUSMANE  BARRY</t>
  </si>
  <si>
    <t>VIVIANE   OUEMOU</t>
  </si>
  <si>
    <t>YAMON  SABINE</t>
  </si>
  <si>
    <t>ABDOUL                           SACKO</t>
  </si>
  <si>
    <t>ADAMA    BENTHE      BARRY</t>
  </si>
  <si>
    <t>ALHASSANE                 BAH</t>
  </si>
  <si>
    <t>BEN        SEKOU           DIAWARA</t>
  </si>
  <si>
    <t>BOUBACAR    YERE         BARRY</t>
  </si>
  <si>
    <t>CHRISTINE                    KOLIE</t>
  </si>
  <si>
    <t>ELHAJ     MAMADOU      BALDE</t>
  </si>
  <si>
    <t>FANTA                               BAYO</t>
  </si>
  <si>
    <t>FANTA                               CAMARA</t>
  </si>
  <si>
    <t>FATOUMATA    AROUWA      BAH</t>
  </si>
  <si>
    <t>FATOUMATA    BINTA       DIALLO</t>
  </si>
  <si>
    <t>FATOUMATA   DJARIOU    DIALLO</t>
  </si>
  <si>
    <t>GOBOU     AGNES         BALAMOU</t>
  </si>
  <si>
    <t>HADIATOU                         DIALLO</t>
  </si>
  <si>
    <t>HADJA      TENINKE       KOUROUMA</t>
  </si>
  <si>
    <t>JEANNETTE                  GOUMOU</t>
  </si>
  <si>
    <t>JEANNETTE                SOROPOGUI</t>
  </si>
  <si>
    <t>KADIATOU                    BARRY</t>
  </si>
  <si>
    <t>MAMADOU     BAILLO         DIALLO</t>
  </si>
  <si>
    <t>MAMADOU    CIRE          BARRY</t>
  </si>
  <si>
    <t>MARIAME       DJOULDE      SOW</t>
  </si>
  <si>
    <t>MARIE      CHRISTIANE      HABA</t>
  </si>
  <si>
    <t>MAWA                                     DORE</t>
  </si>
  <si>
    <t>MMAH                                CAMARA</t>
  </si>
  <si>
    <t>MONIQUE    IVERSE         LOUA</t>
  </si>
  <si>
    <t>ROSALINE                      KOLIE</t>
  </si>
  <si>
    <t>SALIMATOU                 BARRY</t>
  </si>
  <si>
    <t>SARAN                              SACKO</t>
  </si>
  <si>
    <t>SOUADOU                         DIALLO</t>
  </si>
  <si>
    <t>THIERNO     MAMADOU     DIALLO</t>
  </si>
  <si>
    <t xml:space="preserve"> AICHA                       DIAWARA</t>
  </si>
  <si>
    <t>ABDOULAYE                          SACKO</t>
  </si>
  <si>
    <t>ABOUBACAR                  SOUMAH</t>
  </si>
  <si>
    <t>ADAMA                            BAH</t>
  </si>
  <si>
    <t>ADAMA          DIAN             DIALLO</t>
  </si>
  <si>
    <t>AISSATOU                           KEITA</t>
  </si>
  <si>
    <t>AISSATOU                       BALDE</t>
  </si>
  <si>
    <t>AISSATOU     GOULY       BAH</t>
  </si>
  <si>
    <t>ALBERT          SENA       SAGNO</t>
  </si>
  <si>
    <t>ALY          BADARA         KAKORO</t>
  </si>
  <si>
    <t>AMADOU                                 SYLLA</t>
  </si>
  <si>
    <t>AMINATA                           CAMARA</t>
  </si>
  <si>
    <t>ANSOUMANE  TCHO TCHO   CAMARA</t>
  </si>
  <si>
    <t>ASMAOU                   BALDE</t>
  </si>
  <si>
    <t>ASSIATOU                  BALDE</t>
  </si>
  <si>
    <t>BEATRICE                        HABA</t>
  </si>
  <si>
    <t>CE CE           FOROMO       MAOMOU</t>
  </si>
  <si>
    <t>CECE       PHILIPPE         HONOMOU</t>
  </si>
  <si>
    <t>DANSA                                BARRY</t>
  </si>
  <si>
    <t>DJOUMESSY                   CONDE</t>
  </si>
  <si>
    <t>DOUSSOU                          TOURE</t>
  </si>
  <si>
    <t>ELHADJ        AMADOU    DIALLO</t>
  </si>
  <si>
    <t>ELHADJ       MAMADOU          BAH</t>
  </si>
  <si>
    <t>ELHADJ       MAMADOU     CIRE    DIALLO</t>
  </si>
  <si>
    <t>ELISABETH                      LOUA</t>
  </si>
  <si>
    <t>FANTA         BLE                     CAMARA</t>
  </si>
  <si>
    <t>FANTA       MELANIE          SAGNO</t>
  </si>
  <si>
    <t>FATOUMATA               KOULIBALY</t>
  </si>
  <si>
    <t>FATOUMATA    BINTA      DIAKITE</t>
  </si>
  <si>
    <t>FATOUMATA    WOURO    BAH</t>
  </si>
  <si>
    <t>FATOUMATA   BENTHE      DIALLO</t>
  </si>
  <si>
    <t>FATOUMATA   LAMARANA    DIALLO</t>
  </si>
  <si>
    <t>FELEMOU                        PAUL</t>
  </si>
  <si>
    <t>FRANCOIS                  M¨POUNA</t>
  </si>
  <si>
    <t>HALIMATOU                          SOW</t>
  </si>
  <si>
    <t>JEAN         PAUL               NIAMY</t>
  </si>
  <si>
    <t>KADIATOU                           CAMARA</t>
  </si>
  <si>
    <t>KADIATOU                           KOULIBALY</t>
  </si>
  <si>
    <t>KOOSSAIGUINE             DOE</t>
  </si>
  <si>
    <t>MAMADOU       BOBO        BAH</t>
  </si>
  <si>
    <t>MAMADOU      MADANI       CAMARA</t>
  </si>
  <si>
    <t>MAMY   ALPHONSINE          DORE</t>
  </si>
  <si>
    <t>MARIAMA       GADIRI       DIALLO</t>
  </si>
  <si>
    <t>MARIAME                        DIALLO</t>
  </si>
  <si>
    <t>MARIAME                        DOUMBOUYA</t>
  </si>
  <si>
    <t>MARIAME       CIRE            KEITA</t>
  </si>
  <si>
    <t>MARIE          MADELEINE     SAGNO</t>
  </si>
  <si>
    <t>MOHAMED                          KEITA</t>
  </si>
  <si>
    <t>MOHAMED          DAMBA</t>
  </si>
  <si>
    <t>MOUSSA                                 SYLLA</t>
  </si>
  <si>
    <t>MOUSSA    ALEXIS         GOUMOU</t>
  </si>
  <si>
    <t>NAFISSATOU                    DIALLO</t>
  </si>
  <si>
    <t>NENE       YOUSSOUF       BALDE</t>
  </si>
  <si>
    <t>OUMOU    HAWA               DIALLO</t>
  </si>
  <si>
    <t>REBECCA                   M¨POUNA</t>
  </si>
  <si>
    <t>ROKIA                                  KEITA</t>
  </si>
  <si>
    <t>SEKOU                             KAGA</t>
  </si>
  <si>
    <t>SEYDOUBA                       CAMARA</t>
  </si>
  <si>
    <t>TAHIROU                            DIALLO</t>
  </si>
  <si>
    <t>BAH HADJA MARIAMA</t>
  </si>
  <si>
    <t>BAH MAMADOU ALPHA</t>
  </si>
  <si>
    <t>BAH MARIAMA DJELLO</t>
  </si>
  <si>
    <t>BALDE ADAMA OURY</t>
  </si>
  <si>
    <t>BALDE AISSATOU OUSMANE</t>
  </si>
  <si>
    <t>BALDE HADIATOULAYE</t>
  </si>
  <si>
    <t>BALDE MAIMOUNA</t>
  </si>
  <si>
    <t>BARRY ABDOULAYE</t>
  </si>
  <si>
    <t>BARRY AISSATOU</t>
  </si>
  <si>
    <t>BARRY ALHASSANE</t>
  </si>
  <si>
    <t>BARRY DJAMILATOU</t>
  </si>
  <si>
    <t>BARRY FATOUMATA BINTA</t>
  </si>
  <si>
    <t>BARRY MAMADOU DJIBRIL</t>
  </si>
  <si>
    <t>BARRY OUMOU</t>
  </si>
  <si>
    <t>BARRY SALIMATOU</t>
  </si>
  <si>
    <t>CAMARA ELHADJ MOUNIR</t>
  </si>
  <si>
    <t>CAMARA HADJA MAKOUTA</t>
  </si>
  <si>
    <t>CAMARA HANATOU</t>
  </si>
  <si>
    <t>CAMARA KADIATOU</t>
  </si>
  <si>
    <t>CAMARA MAMADY</t>
  </si>
  <si>
    <t>CAMARA MOHAMED SARAN</t>
  </si>
  <si>
    <t>CAMARA NINA GILBERT KOTO</t>
  </si>
  <si>
    <t>DAMEY ETIENNE</t>
  </si>
  <si>
    <t>DELAMOU GEORGETTE TATA</t>
  </si>
  <si>
    <t>DIAKITE BOUBACAR</t>
  </si>
  <si>
    <t>DIALLO FATOUMATA BINTA</t>
  </si>
  <si>
    <t>DIALLO MARIAMA DALANDA</t>
  </si>
  <si>
    <t>DIALLO MARIATOU</t>
  </si>
  <si>
    <t>DIALLO NENE KADIATOU</t>
  </si>
  <si>
    <t>DOUKOURE ABDOULAYE</t>
  </si>
  <si>
    <t>DOUMBOUYA IBRAHIMA SORY</t>
  </si>
  <si>
    <t>GOMOU SENY</t>
  </si>
  <si>
    <t>KABA ISMAEL</t>
  </si>
  <si>
    <t>KANTE MOHAMED</t>
  </si>
  <si>
    <t>KEITA CELLOU</t>
  </si>
  <si>
    <t>KEITA N'FANLY</t>
  </si>
  <si>
    <t>KEITA SIDIBE BOUBACAR BEN</t>
  </si>
  <si>
    <t>KOLIE NOWAI ERNEST</t>
  </si>
  <si>
    <t>KOLOMOU SENY SUZANNE</t>
  </si>
  <si>
    <t>KOULIBALY SAIBOU</t>
  </si>
  <si>
    <t>KOUROUMA MARGUERITE</t>
  </si>
  <si>
    <t>KOUYATE ALSENY</t>
  </si>
  <si>
    <t>LAMAH GOBOU ANGELINE</t>
  </si>
  <si>
    <t>LOUA ANGELINE</t>
  </si>
  <si>
    <t>LOUA KOLOU HOCTENCE</t>
  </si>
  <si>
    <t>LOUA LUC</t>
  </si>
  <si>
    <t>MAIGA TIGUIDANKE</t>
  </si>
  <si>
    <t>SAGNO SIMONE</t>
  </si>
  <si>
    <t>SANGARE FANTA</t>
  </si>
  <si>
    <t>SOW FATOUMATA</t>
  </si>
  <si>
    <t>SOW MOUSSA</t>
  </si>
  <si>
    <t>THEA BERNADETTE</t>
  </si>
  <si>
    <t>TOURE ESTHER GOPOU KEKOURANE</t>
  </si>
  <si>
    <t>TOURE OUSMANE</t>
  </si>
  <si>
    <t>ABDOULAYE           I            BAH</t>
  </si>
  <si>
    <t>ABDOUL    KARIME      DIALLO</t>
  </si>
  <si>
    <t>ABDOULAYE                II         BAH</t>
  </si>
  <si>
    <t>ABDOURAHAMANE       DIALLO</t>
  </si>
  <si>
    <t>ABOUBQCAR      SAIDOU     TOURE</t>
  </si>
  <si>
    <t>ADAMA    DIALLO</t>
  </si>
  <si>
    <t>ADAMA HAWA  DIA</t>
  </si>
  <si>
    <t>ADELE     GOUMOU</t>
  </si>
  <si>
    <t>AISSATOU   BELLA   BARRY</t>
  </si>
  <si>
    <t>AISSATOU   KORKA   CAMARA</t>
  </si>
  <si>
    <t>ALHASSANE        KOUYATE</t>
  </si>
  <si>
    <t>ALHASSANE     MARAH</t>
  </si>
  <si>
    <t>ALY     SACKO</t>
  </si>
  <si>
    <t>AMADOU   KORKA    BARRY</t>
  </si>
  <si>
    <t>AMINATA     DOUMBOUYA</t>
  </si>
  <si>
    <t>CECE  CELESTIN   KOLIE</t>
  </si>
  <si>
    <t>CLARICE   LAMAH</t>
  </si>
  <si>
    <t>DANIEL      KOLIE</t>
  </si>
  <si>
    <t>DJAMILATOU BAH</t>
  </si>
  <si>
    <t>DORCAS   GBILIMOU</t>
  </si>
  <si>
    <t>ELHADJ  IBRAHIMA    BALDE</t>
  </si>
  <si>
    <t>FATOUMATA   BINTA BALDE</t>
  </si>
  <si>
    <t>FATOUMATA   SETTO DIALLO</t>
  </si>
  <si>
    <t>HADIATOU   DIALLO</t>
  </si>
  <si>
    <t>HADJA   SIATA   DOUMBOUYA</t>
  </si>
  <si>
    <t>HADJA  AISSATOU     BAH</t>
  </si>
  <si>
    <t>HAWA    DOUMBOUYA</t>
  </si>
  <si>
    <t>HELENE    GNEPOU   BALAMOU</t>
  </si>
  <si>
    <t>IBRAHIM    DIANE</t>
  </si>
  <si>
    <t>ISAI     BALAMOU</t>
  </si>
  <si>
    <t>ISSA   BARRY</t>
  </si>
  <si>
    <t>MAIMOUNA     BAH</t>
  </si>
  <si>
    <t>MAMADOU         KABA</t>
  </si>
  <si>
    <t>MAMADOU   MOUCTAR BARRY</t>
  </si>
  <si>
    <t>MAMADOU  SALIOU   BARRY</t>
  </si>
  <si>
    <t>MAMADOU LAMINE     BAH</t>
  </si>
  <si>
    <t>MARIAMA      BARRY</t>
  </si>
  <si>
    <t>MARIAME            CONDE</t>
  </si>
  <si>
    <t>MARIE   JEANNE   NIAMY</t>
  </si>
  <si>
    <t>MARIE MADELENE KOUMABAYE CONDE</t>
  </si>
  <si>
    <t>MICHELINE      KOLOMOU</t>
  </si>
  <si>
    <t>MOUCTAR     SIDIBE</t>
  </si>
  <si>
    <t>NAFISSATOU   BAH</t>
  </si>
  <si>
    <t>OUMAR   BELLA    DIALLO</t>
  </si>
  <si>
    <t>OUMOU   KOULTOUMY   DIALLO</t>
  </si>
  <si>
    <t>OUMOU   SALEMATOU    SOW</t>
  </si>
  <si>
    <t>PAULETTE      SOUMAORE</t>
  </si>
  <si>
    <t>RHENE   PROSPER   LAMAH</t>
  </si>
  <si>
    <t>SALEMATOU   CONDE</t>
  </si>
  <si>
    <t>SARAN    TRAORE</t>
  </si>
  <si>
    <t>SEIKOU AHMED TIDJANE  BARRY</t>
  </si>
  <si>
    <t>SENY    PIERETTE   GOUMOU</t>
  </si>
  <si>
    <t>SENY    SOROPOGUI</t>
  </si>
  <si>
    <t>THIERNO   HAMZATA        BALDE</t>
  </si>
  <si>
    <t>THIERNO   IBRAHIMA    SOW</t>
  </si>
  <si>
    <t>THIERNO   OUSMANE     BARRY</t>
  </si>
  <si>
    <t>YAMOUSSA   KOITA</t>
  </si>
  <si>
    <t>ABOUBACAR                                CISSE</t>
  </si>
  <si>
    <t>ABDOULAYE                                  BAH</t>
  </si>
  <si>
    <t>ABOUBACAR                               BAH</t>
  </si>
  <si>
    <t>ADAMA                                          BARRY</t>
  </si>
  <si>
    <t>ADAMA        DJAN             BARRY</t>
  </si>
  <si>
    <t>AGNES                                  KOLIE</t>
  </si>
  <si>
    <t>AMINATOU                                  BARRY</t>
  </si>
  <si>
    <t>CHRISTINE  MATHIEU       SOLIE</t>
  </si>
  <si>
    <t>ELISE                                      DORE</t>
  </si>
  <si>
    <t>FANTA                                        KABA</t>
  </si>
  <si>
    <t>FATOUMATA                   SOUARE</t>
  </si>
  <si>
    <t>FATOUMATA       DJARRAYE    BALDE</t>
  </si>
  <si>
    <t>FATOUMATA   BINTA     BARRY</t>
  </si>
  <si>
    <t>HAROUNA                      DAMBA</t>
  </si>
  <si>
    <t>HAWA                             KAKORO</t>
  </si>
  <si>
    <t>KANGBE                                KOLIE</t>
  </si>
  <si>
    <t>M¨BALOU                                BAH</t>
  </si>
  <si>
    <t>MAMADOU    ALIOU             DIALLO</t>
  </si>
  <si>
    <t>MAMADOU    BIALLO          BAH</t>
  </si>
  <si>
    <t>MARCELIN                               BREYA</t>
  </si>
  <si>
    <t>MARIAME      DALAN           DIALLO</t>
  </si>
  <si>
    <t>MARIE    CLAIRE               KOLIE</t>
  </si>
  <si>
    <t>MOUHAMADOU   MADANY   BAH</t>
  </si>
  <si>
    <t>OUMOU     HAWA                    DIALLO</t>
  </si>
  <si>
    <t>OUO OUO  GASPARD            KOLIE</t>
  </si>
  <si>
    <t>OUSMANE                             KOLLE</t>
  </si>
  <si>
    <t>RABIATOU                              DIALLO</t>
  </si>
  <si>
    <t>SAYON                                   DIAWARA</t>
  </si>
  <si>
    <t>SOULEYMANE               DOUKOURE</t>
  </si>
  <si>
    <t>THIERNO    ABDOURAHIM     DIALLO</t>
  </si>
  <si>
    <t>VERONIQUE                  KPOGHOMOU</t>
  </si>
  <si>
    <t>YEWO                               LOUA</t>
  </si>
  <si>
    <t xml:space="preserve"> AGNES                                    LOUA</t>
  </si>
  <si>
    <t>ALEXIS      FOROMO           GOUMOU</t>
  </si>
  <si>
    <t>ALIA                                 MANE</t>
  </si>
  <si>
    <t>AMINATA                                CAMARA</t>
  </si>
  <si>
    <t>DJIBA                                      BALDE</t>
  </si>
  <si>
    <t>EMMANUL                              GOUMOU</t>
  </si>
  <si>
    <t>EUGENIE                                 TOLNO</t>
  </si>
  <si>
    <t>EZECKIEL        THOMAS    LOUA</t>
  </si>
  <si>
    <t>FATOUMATA    BOURE   SYILLA</t>
  </si>
  <si>
    <t>FOULEMATOU                     CAMARA</t>
  </si>
  <si>
    <t>IBRAHIMA           SORY      SYLLA</t>
  </si>
  <si>
    <t>KADE                                        CONDE</t>
  </si>
  <si>
    <t>MAMADOU        SIRADJO     BALDE</t>
  </si>
  <si>
    <t>MAMADOU     OURY       BARRY</t>
  </si>
  <si>
    <t>MAMAISSATA                       CAMARA</t>
  </si>
  <si>
    <t>MAMI               ANGELE     SONOMOU</t>
  </si>
  <si>
    <t>MANTY              BEN         SIDIBE</t>
  </si>
  <si>
    <t>MORY                                       SYLLA</t>
  </si>
  <si>
    <t>NOWAI                                 CAMARA</t>
  </si>
  <si>
    <t>THIERNO      SOULEYMANE     BAH</t>
  </si>
  <si>
    <t xml:space="preserve">YAMOUSSA                        TOURE   </t>
  </si>
  <si>
    <t>YARIE                                     SYLLA</t>
  </si>
  <si>
    <t>AMADOU    YANSANE</t>
  </si>
  <si>
    <t>ELISABETH    MAOMOU</t>
  </si>
  <si>
    <t>FANTA   CAMARA</t>
  </si>
  <si>
    <t>FRANCOISE   GUELIA   DOUALAMOU</t>
  </si>
  <si>
    <t>KADIATOU     BARRY</t>
  </si>
  <si>
    <t>MAMADOU BOBO   BARRY</t>
  </si>
  <si>
    <t>MARIAMA   IDY  DIA</t>
  </si>
  <si>
    <t>MARIATOU     DIALLO</t>
  </si>
  <si>
    <t>MARTINE WIDO   SOLIE</t>
  </si>
  <si>
    <t>RAHILOU    BAH</t>
  </si>
  <si>
    <t>SENY   DORE</t>
  </si>
  <si>
    <t>VASSY   ANGELINE  CAMARA</t>
  </si>
  <si>
    <t>ASSIATOU                                 BAH</t>
  </si>
  <si>
    <t>AGNES                                       LOUA</t>
  </si>
  <si>
    <t>CHEICK        AHMED           THIAO</t>
  </si>
  <si>
    <t>FRANCOIS                           SOROPOGUI</t>
  </si>
  <si>
    <t>FATIM                              CHERIF</t>
  </si>
  <si>
    <t>FATOUMATA      DIARIOU    DIALLO</t>
  </si>
  <si>
    <t>MAMOUDOU                             KEITA</t>
  </si>
  <si>
    <t>SALIFOU                               BARRY</t>
  </si>
  <si>
    <t>RAMATOULAYE                       SOW</t>
  </si>
  <si>
    <t>ABDOULAYE    DIALLO</t>
  </si>
  <si>
    <t>ABDOULAYE CHERIF BARRY</t>
  </si>
  <si>
    <t>ABOUBACAR   SIDIKI   BAYO</t>
  </si>
  <si>
    <t>ABOUBACAR   SIDIKI  SOUMAORO</t>
  </si>
  <si>
    <t>ALEXIS   HOORO    HABA</t>
  </si>
  <si>
    <t>ALSENY   FATOU   SOUMAH</t>
  </si>
  <si>
    <t>ALY    MAIGA</t>
  </si>
  <si>
    <t>AMADOU   TIDJANE    BAH</t>
  </si>
  <si>
    <t>BAMAYE    DIABY</t>
  </si>
  <si>
    <t>BINTOU  CAMARA</t>
  </si>
  <si>
    <t>FANTA    KEITA</t>
  </si>
  <si>
    <t>FATOUMATA   YARIE   SOUMAH</t>
  </si>
  <si>
    <t>FATOUMATA BATOULY  BAH</t>
  </si>
  <si>
    <t>FATOUMATA BINTA  BEN SIDIBE</t>
  </si>
  <si>
    <t>HABIBATOU   DIALLO</t>
  </si>
  <si>
    <t>IBRAHIMA   SORY  SOUMAH</t>
  </si>
  <si>
    <t>JACQUES        LAMAH</t>
  </si>
  <si>
    <t>LAYE   SOLO TRAORE</t>
  </si>
  <si>
    <t>MADELENE    MAOMY</t>
  </si>
  <si>
    <t>MAMADOU ALIOU   BALDE</t>
  </si>
  <si>
    <t>MARIAMA   DALANDA  DIALLO</t>
  </si>
  <si>
    <t>MARIAME ISMAEL   KEITA</t>
  </si>
  <si>
    <t>OUMOU     BAYO</t>
  </si>
  <si>
    <t>RAYMOND      MANE</t>
  </si>
  <si>
    <t>SALEMON    KELEBA</t>
  </si>
  <si>
    <t>SARAN    KEIRA</t>
  </si>
  <si>
    <t>BAH    ALPHA     OUMAR I</t>
  </si>
  <si>
    <t>BAH    ALPHA     OUMAR II</t>
  </si>
  <si>
    <t>BAH    FATOUMATA     OURY</t>
  </si>
  <si>
    <t>BALLA    YATTARA</t>
  </si>
  <si>
    <t>BARRY    MARIAMA  I</t>
  </si>
  <si>
    <t>BARRY    MARIAMA  II</t>
  </si>
  <si>
    <t>BARRY   ISSA</t>
  </si>
  <si>
    <t>BARRY   MAMADOU     ALIOU</t>
  </si>
  <si>
    <t>CAMARA    ALMAMY</t>
  </si>
  <si>
    <t>DIALLO     ABDOULAYE</t>
  </si>
  <si>
    <t>DIALLO     ALPHA     OUMAR</t>
  </si>
  <si>
    <t>DIALLO     BOUBACAR    SIDY</t>
  </si>
  <si>
    <t>DIALLO     MARIAME   SADJO</t>
  </si>
  <si>
    <t>DIALLO    ADAMA</t>
  </si>
  <si>
    <t xml:space="preserve">DIALLO    AISSATOU    BELLA </t>
  </si>
  <si>
    <t>DIALLO    FATOUMATA   BINTA</t>
  </si>
  <si>
    <t>DIALLO    HADIATOU</t>
  </si>
  <si>
    <t>DIALLO    HOUSSAINATOU</t>
  </si>
  <si>
    <t>DIALLO    MAMADOU    DIAN</t>
  </si>
  <si>
    <t>DIALLO    MAMADOU    SADJO</t>
  </si>
  <si>
    <t>DIALLO   ASSIATOU</t>
  </si>
  <si>
    <t xml:space="preserve">DIALLO AISSATOU  RAMADAN </t>
  </si>
  <si>
    <t>DIALLO RAMATA  FOULA</t>
  </si>
  <si>
    <t>DIANE     FATOUMATA    BINTA</t>
  </si>
  <si>
    <t>DOUMBOUYA    PASCAL   MEZAN</t>
  </si>
  <si>
    <t>FATOUMATA     BINTA    II    DIALLO</t>
  </si>
  <si>
    <t>KOIVOGUI    HENRIETTE    KOMASSA</t>
  </si>
  <si>
    <t>KOLIE    AGNES</t>
  </si>
  <si>
    <t>KOLIE    ELISA BETH</t>
  </si>
  <si>
    <t>KONATE    MANSIRA</t>
  </si>
  <si>
    <t>KONOMOU     FRANCOISE</t>
  </si>
  <si>
    <t>KOUROUMA    AIC HA</t>
  </si>
  <si>
    <t>KOUYATE    AHMED    TIDJANE</t>
  </si>
  <si>
    <t>LEONTINE     HABA</t>
  </si>
  <si>
    <t>MOHAMED    II      CONDE</t>
  </si>
  <si>
    <t>SOW      MARIATOU</t>
  </si>
  <si>
    <t>TOURE      M'MAHAWA</t>
  </si>
  <si>
    <t>TRAORE    PEPE     JUSTIN</t>
  </si>
  <si>
    <t>ABOUBACAR SIDIKI   CAMARA</t>
  </si>
  <si>
    <t>ALPHA   ISSIAGA BALDE</t>
  </si>
  <si>
    <t>ANGELINE    DORE</t>
  </si>
  <si>
    <t>ANGELINE HABA</t>
  </si>
  <si>
    <t>ANTOINE    LOUA</t>
  </si>
  <si>
    <t>CATHERINE KPOGOMOU</t>
  </si>
  <si>
    <t>FATOUMATA   BINTA   DIALLO</t>
  </si>
  <si>
    <t>HALIMATOU   DIALLO</t>
  </si>
  <si>
    <t>KOVANA   MARCEL  LOUA</t>
  </si>
  <si>
    <t>MAMADOU  SAMSY   BARRY</t>
  </si>
  <si>
    <t>MAMADOU FILY  BARRY</t>
  </si>
  <si>
    <t>MAMADOU OURY   BALDE</t>
  </si>
  <si>
    <t>MARTINE     KOLIE</t>
  </si>
  <si>
    <t>MOTY    TRAORE</t>
  </si>
  <si>
    <t>N'FAMOUSSA   SYLLA</t>
  </si>
  <si>
    <t>SEKOU   SOUARE</t>
  </si>
  <si>
    <t>SENY   MARTINE   HAGBALAMOU</t>
  </si>
  <si>
    <t>TIGUIDANKE   SAMOURA</t>
  </si>
  <si>
    <t>WIDO    CLARICE  MAOMOU</t>
  </si>
  <si>
    <t>CHARLOTTE                       CAMARA</t>
  </si>
  <si>
    <t>M'BALOU                                         KABA</t>
  </si>
  <si>
    <t>HASSANE   BAILO   DIALLO</t>
  </si>
  <si>
    <t>MICHAEL   BANGOURA</t>
  </si>
  <si>
    <t>GERMAINE  NOWAI  DELAMY</t>
  </si>
  <si>
    <t>ADAMA   BAH</t>
  </si>
  <si>
    <t>ADELE   CAMARA</t>
  </si>
  <si>
    <t>AISSATOU    BAH</t>
  </si>
  <si>
    <t>ALPHONSE        FANGAMOU</t>
  </si>
  <si>
    <t>ALSENY     BARRY</t>
  </si>
  <si>
    <t>AMINATA   BALDE</t>
  </si>
  <si>
    <t>ANSSOUMANE    OULARE</t>
  </si>
  <si>
    <t>ANTOINETTE     KOUROUMA</t>
  </si>
  <si>
    <t>BANGALY   TOURE</t>
  </si>
  <si>
    <t>CECE  FLORENTIN   LOUA</t>
  </si>
  <si>
    <t>CELESTIN   MAOMOU</t>
  </si>
  <si>
    <t>CHRISTOPHE     LOUA</t>
  </si>
  <si>
    <t>DIARRA        KONATE</t>
  </si>
  <si>
    <t>DIARRAYE       BARRY</t>
  </si>
  <si>
    <t>FACINET   CAMARA</t>
  </si>
  <si>
    <t>FATOUMATA    SYLLA</t>
  </si>
  <si>
    <t>HABIBATOU   BAH</t>
  </si>
  <si>
    <t>HABIBATOU   SOW</t>
  </si>
  <si>
    <t>HADJA    ADAMA      BARRY</t>
  </si>
  <si>
    <t>HAWA      BGE      KOITA</t>
  </si>
  <si>
    <t>IBRAHIM     BAH</t>
  </si>
  <si>
    <t>KADIATOU    DIALLO</t>
  </si>
  <si>
    <t>MAKAGBE     KEITA</t>
  </si>
  <si>
    <t>MAMADOU     FADJA   DIALLO</t>
  </si>
  <si>
    <t>MAMADOU   SALIOU   LY</t>
  </si>
  <si>
    <t>MARIAMA     SOURGHAYA BARRY</t>
  </si>
  <si>
    <t>MARIAME   BAILLO   DIALLO</t>
  </si>
  <si>
    <t>NESTOR    NEMA      GROVOGUI</t>
  </si>
  <si>
    <t>OUSMANE              TRAORE</t>
  </si>
  <si>
    <t>OUSMANE   DJAKA    DIALLO</t>
  </si>
  <si>
    <t>PATRICK   CAMARA</t>
  </si>
  <si>
    <t>SALIF        CAMARA</t>
  </si>
  <si>
    <t>SANATA          TOURE</t>
  </si>
  <si>
    <t>SAYON   SAMOURA</t>
  </si>
  <si>
    <t>SENY   SIMONE    BALAMOU</t>
  </si>
  <si>
    <t>THIERNO       SADOU        BARRY</t>
  </si>
  <si>
    <t>THIERNO     BOUBACAR   BARRY</t>
  </si>
  <si>
    <t>YAWA      SUZANNE     LENO</t>
  </si>
  <si>
    <t>ZEINABOU          DIAKITE</t>
  </si>
  <si>
    <t>ZEINABOU          SAKHO</t>
  </si>
  <si>
    <t>MAMADY     KABA</t>
  </si>
  <si>
    <t>FELEMATOU   KABA</t>
  </si>
  <si>
    <t>AMANATA                             BALDE</t>
  </si>
  <si>
    <t>LE  PROVISEUR</t>
  </si>
  <si>
    <t>Mr    NEMA     SOUMAORO</t>
  </si>
  <si>
    <t>LE    PROVISEUR</t>
  </si>
  <si>
    <t>Mr    NEMA    SOUMAORO</t>
  </si>
  <si>
    <t>CONAKRY   LE  25 FEVRIER 2024</t>
  </si>
  <si>
    <t>TABLEAU   STATISTIQUES</t>
  </si>
  <si>
    <t>TOTAL</t>
  </si>
  <si>
    <r>
      <t>CLASSE: 7</t>
    </r>
    <r>
      <rPr>
        <b/>
        <vertAlign val="superscript"/>
        <sz val="11"/>
        <color indexed="8"/>
        <rFont val="Arial Narrow"/>
        <family val="2"/>
      </rPr>
      <t>ème</t>
    </r>
    <r>
      <rPr>
        <b/>
        <sz val="11"/>
        <color indexed="8"/>
        <rFont val="Arial Narrow"/>
        <family val="2"/>
      </rPr>
      <t xml:space="preserve"> ANNEE A</t>
    </r>
  </si>
  <si>
    <t>IRE  CONAKRY</t>
  </si>
  <si>
    <t>DCE   MATOTO</t>
  </si>
  <si>
    <t>DSEE  DABOMBA</t>
  </si>
  <si>
    <t>GSP CHRISTINE  CAMARA</t>
  </si>
  <si>
    <r>
      <t>RESULTAT DES COMPOSITIONS DU 1er</t>
    </r>
    <r>
      <rPr>
        <b/>
        <sz val="11"/>
        <color indexed="8"/>
        <rFont val="Arial Narrow"/>
        <family val="2"/>
      </rPr>
      <t xml:space="preserve"> SEMESTRE DE L'ANNEE SCOLAIRE 2023 - 20224</t>
    </r>
  </si>
  <si>
    <r>
      <t>RESULTAT DES COMPOSITIONS DU 1er</t>
    </r>
    <r>
      <rPr>
        <b/>
        <sz val="11"/>
        <color indexed="8"/>
        <rFont val="Arial Narrow"/>
        <family val="2"/>
      </rPr>
      <t xml:space="preserve"> SEMESTRE DE L'ANNEE SCOLAIRE 2023 - 2024</t>
    </r>
  </si>
  <si>
    <t>Sont déclarés admis aux compositions premier  semestre de l'année scolaire 2023 - 2024du GSP                                                         CHRISTINE  CAMARA, les eleves dont les Prénoms et NOM suivent par ordre de mérite:</t>
  </si>
  <si>
    <t>Sont déclarés admis aux compositions premier  semestre de l'année scolaire 2023 - 2024 du GSP                                                          CHRISTINE  CAMARA , les élèves dont les Prénoms et NOM suivent par ordre de mérite:</t>
  </si>
  <si>
    <r>
      <t>RESULTAT DES COMPOSITIONS DU 1er</t>
    </r>
    <r>
      <rPr>
        <b/>
        <sz val="11"/>
        <color indexed="8"/>
        <rFont val="Arial Narrow"/>
        <family val="2"/>
      </rPr>
      <t xml:space="preserve"> SEMESTRE DE L'ANNEE SCOLAIRE 2023- 2024</t>
    </r>
  </si>
  <si>
    <t>Sont déclarés admis aux compositions  du premier  semestre de l'année scolaire 2023 - 2024 du GSP                                                          CHRISTINE CAMARA , les élèves dont les Prénoms et NOM suivent par ordre de mérite:</t>
  </si>
  <si>
    <t>Sont déclarés admis aux compositions premier  semestre de l'année scolaire 2023 - 2024 du GSP                                                           CHRISTINE CAMARA , les élèves dont les Prénoms et NOM suivent par ordre de mérite:</t>
  </si>
  <si>
    <t>Sont déclarés admis aux  du premier  semestre de l'année scolaire 2023 - 2024 du GSP                                                          CHRISTINE  CAMARA , les élèves dont les Prénoms et NOM suivent par ordre de mérite:</t>
  </si>
  <si>
    <t>Sont déclarés admis aux compositions du premier  semestre de l'année scolaire 2023 - 2024 du  GSP                                                                                     christine   CAMARA , les élèves dont les Prénoms et NOM suivent par ordre de mérite:</t>
  </si>
  <si>
    <r>
      <t>CLASSE: 7</t>
    </r>
    <r>
      <rPr>
        <b/>
        <vertAlign val="superscript"/>
        <sz val="11"/>
        <color indexed="8"/>
        <rFont val="Arial Narrow"/>
        <family val="2"/>
      </rPr>
      <t>ème</t>
    </r>
    <r>
      <rPr>
        <b/>
        <sz val="11"/>
        <color indexed="8"/>
        <rFont val="Arial Narrow"/>
        <family val="2"/>
      </rPr>
      <t xml:space="preserve"> ANNEE B</t>
    </r>
  </si>
  <si>
    <t>Sont déclarés admis aux compositions du  premier  semestre de l'année scolaire 2023- 2024 du GSP                                                          CHRISTINE CAMARA les élèves dont les Prénoms et NOM suivent par ordre de mérite:</t>
  </si>
  <si>
    <t>Sont déclarés admis aux compositions du premier  semestre de l'année scolaire 2023 - 2024 du GSP                                                          CHRISTINE   CAMARA, les élèves dont les Prénoms et NOM suivent par ordre de mérite:</t>
  </si>
  <si>
    <t>Sont déclarés admis aux compositions premier  semestre de l'année scolaire 2023 - 2024 du GSP                                                          CHRISTINE  CAMARA  les élèves dont les Prénoms et NOM suivent par ordre de mérite:</t>
  </si>
  <si>
    <t>Sont déclarés admis aux compositions premier  semestre de l'année scolaire 2023- 2024 du GSP                                                   CHRISTINE  CAMARA, les élèves dont les Prénoms et NOM suivent par ordre de mérite:</t>
  </si>
  <si>
    <t>Sont déclarés admis aux compositions premier  semestre de l'année scolaire 2023 - 2024 du  GSP                                                                                     CHRISTINE  CAMARA, les élèves dont les Prénoms et NOM suivent par ordre de mérite:</t>
  </si>
  <si>
    <t>Sont déclarés admis aux compositions premier  semestre de l'année scolaire 2023 - 2024 du GSP                                                          CHRISTINE CAMARA , les élèves dont les Prénoms et NOM suivent par ordre de mérite:</t>
  </si>
  <si>
    <t>Sont déclarés admis aux compositions premier  semestre de l'année scolaire 2023 - 2024 du GSP                                    CHRISTINE   CAMARA, les élèves dont les Prénoms et NOM suivent par ordre de mérite:</t>
  </si>
  <si>
    <t>ABDOUL SALAM  DIALLO</t>
  </si>
  <si>
    <t>ABDOULAYE     KOUROUMA</t>
  </si>
  <si>
    <t>AICHA   LAMINE     SOUMAH</t>
  </si>
  <si>
    <t>AMADOU  OURY   DIALLO</t>
  </si>
  <si>
    <t>AMINATA     SYLLA</t>
  </si>
  <si>
    <t>ANGELINE DANIEL SANGBALAMOU</t>
  </si>
  <si>
    <t>ARAFAN     KOITA</t>
  </si>
  <si>
    <t>BERNADETTE     KOVANA  KOLIE</t>
  </si>
  <si>
    <t>BINTOU  GBE        CAMARA</t>
  </si>
  <si>
    <t>DAN   LOUA</t>
  </si>
  <si>
    <t>EVELINE     SAGNO</t>
  </si>
  <si>
    <t>FATOUMATA        MARA</t>
  </si>
  <si>
    <t>FELEMATOU      KABA</t>
  </si>
  <si>
    <t>GAMET         BEAVOGUI</t>
  </si>
  <si>
    <t>HASSANATOU      BARRY</t>
  </si>
  <si>
    <t>HASSATOU     DJIBA     DIALLO</t>
  </si>
  <si>
    <t>HENRIETE      CAMARA</t>
  </si>
  <si>
    <t>IBRAHIMA      BALDE</t>
  </si>
  <si>
    <t>IBRHIMA   FYSSYRY       SOW</t>
  </si>
  <si>
    <t>JULIENNE     SAGNO</t>
  </si>
  <si>
    <t>JUNIORE      DIAMANDE</t>
  </si>
  <si>
    <t>MAMADOU    BARRY</t>
  </si>
  <si>
    <t>MAMADOU   ALARENY    BAH</t>
  </si>
  <si>
    <t>MAMADOU   BAILLO    DIALLO</t>
  </si>
  <si>
    <t>MAMADOU   CIRE    DIALLO</t>
  </si>
  <si>
    <t>MAMADOU  CELLOU     BAH</t>
  </si>
  <si>
    <t>MARIAME     MARIE    TOURE</t>
  </si>
  <si>
    <t>MATHIAS        HABA</t>
  </si>
  <si>
    <t>MAXIMIN             SOLIE</t>
  </si>
  <si>
    <t>MICHEL      LAMAH</t>
  </si>
  <si>
    <t>MOHAMED    LAMINE   DIALLO</t>
  </si>
  <si>
    <t>MORY       CONDE</t>
  </si>
  <si>
    <t>OUMAR    SAKHO</t>
  </si>
  <si>
    <t>OUMOU   HAWA    BARRY</t>
  </si>
  <si>
    <t>OUMOU   HAWA    DIALLO</t>
  </si>
  <si>
    <t>OUSMANE     BARRY</t>
  </si>
  <si>
    <t>OUSMANE    BELTONE   TRAORE</t>
  </si>
  <si>
    <t>OUSMANE    SOW</t>
  </si>
  <si>
    <t>PELAGIE      CONDE</t>
  </si>
  <si>
    <t>PIRERE   THEA</t>
  </si>
  <si>
    <t>ROBET   LAMAH</t>
  </si>
  <si>
    <t>ROUGUIATOU     DIAKITE</t>
  </si>
  <si>
    <t>THIERNO   IDIATOU    SOW</t>
  </si>
  <si>
    <t>THIERNO   OUSMANE    BARRY</t>
  </si>
  <si>
    <t>VIVIANE         GUEMOU</t>
  </si>
  <si>
    <t>YAMON      SABINE</t>
  </si>
  <si>
    <t>YERO   OURY    BARRY</t>
  </si>
  <si>
    <t>YOUSSOUF   TOURE</t>
  </si>
  <si>
    <t>AISSATOU   BANGOURA</t>
  </si>
  <si>
    <t>AMINATA                             BALDE</t>
  </si>
  <si>
    <t>HADJA    ADAMA      BAH</t>
  </si>
  <si>
    <r>
      <t>21</t>
    </r>
    <r>
      <rPr>
        <b/>
        <vertAlign val="superscript"/>
        <sz val="11"/>
        <color theme="1"/>
        <rFont val="Arial Narrow"/>
        <family val="2"/>
      </rPr>
      <t>ère</t>
    </r>
  </si>
  <si>
    <r>
      <t>1</t>
    </r>
    <r>
      <rPr>
        <b/>
        <vertAlign val="superscript"/>
        <sz val="12"/>
        <color theme="1"/>
        <rFont val="Arial Narrow"/>
        <family val="2"/>
      </rPr>
      <t>ère</t>
    </r>
  </si>
  <si>
    <r>
      <t>2</t>
    </r>
    <r>
      <rPr>
        <b/>
        <vertAlign val="superscript"/>
        <sz val="12"/>
        <color theme="1"/>
        <rFont val="Arial Narrow"/>
        <family val="2"/>
      </rPr>
      <t>ème</t>
    </r>
  </si>
  <si>
    <r>
      <t>3</t>
    </r>
    <r>
      <rPr>
        <b/>
        <vertAlign val="superscript"/>
        <sz val="12"/>
        <color theme="1"/>
        <rFont val="Arial Narrow"/>
        <family val="2"/>
      </rPr>
      <t>ème</t>
    </r>
  </si>
  <si>
    <r>
      <t>4</t>
    </r>
    <r>
      <rPr>
        <b/>
        <vertAlign val="superscript"/>
        <sz val="12"/>
        <color theme="1"/>
        <rFont val="Arial Narrow"/>
        <family val="2"/>
      </rPr>
      <t>ème</t>
    </r>
  </si>
  <si>
    <r>
      <t>5</t>
    </r>
    <r>
      <rPr>
        <b/>
        <vertAlign val="superscript"/>
        <sz val="12"/>
        <color theme="1"/>
        <rFont val="Arial Narrow"/>
        <family val="2"/>
      </rPr>
      <t>ème</t>
    </r>
  </si>
  <si>
    <r>
      <t>6</t>
    </r>
    <r>
      <rPr>
        <b/>
        <vertAlign val="superscript"/>
        <sz val="12"/>
        <color theme="1"/>
        <rFont val="Arial Narrow"/>
        <family val="2"/>
      </rPr>
      <t>ème</t>
    </r>
  </si>
  <si>
    <r>
      <t>7</t>
    </r>
    <r>
      <rPr>
        <b/>
        <vertAlign val="superscript"/>
        <sz val="12"/>
        <color theme="1"/>
        <rFont val="Arial Narrow"/>
        <family val="2"/>
      </rPr>
      <t>ème</t>
    </r>
  </si>
  <si>
    <r>
      <t>8</t>
    </r>
    <r>
      <rPr>
        <b/>
        <vertAlign val="superscript"/>
        <sz val="12"/>
        <color theme="1"/>
        <rFont val="Arial Narrow"/>
        <family val="2"/>
      </rPr>
      <t>ème</t>
    </r>
  </si>
  <si>
    <r>
      <t>9</t>
    </r>
    <r>
      <rPr>
        <b/>
        <vertAlign val="superscript"/>
        <sz val="12"/>
        <color theme="1"/>
        <rFont val="Arial Narrow"/>
        <family val="2"/>
      </rPr>
      <t>ème</t>
    </r>
  </si>
  <si>
    <r>
      <t>10</t>
    </r>
    <r>
      <rPr>
        <b/>
        <vertAlign val="superscript"/>
        <sz val="12"/>
        <color theme="1"/>
        <rFont val="Arial Narrow"/>
        <family val="2"/>
      </rPr>
      <t>ème</t>
    </r>
  </si>
  <si>
    <r>
      <t>11</t>
    </r>
    <r>
      <rPr>
        <b/>
        <vertAlign val="superscript"/>
        <sz val="12"/>
        <color theme="1"/>
        <rFont val="Arial Narrow"/>
        <family val="2"/>
      </rPr>
      <t>ème</t>
    </r>
  </si>
  <si>
    <r>
      <t>12</t>
    </r>
    <r>
      <rPr>
        <b/>
        <vertAlign val="superscript"/>
        <sz val="12"/>
        <color theme="1"/>
        <rFont val="Arial Narrow"/>
        <family val="2"/>
      </rPr>
      <t>ème</t>
    </r>
  </si>
  <si>
    <r>
      <t>13</t>
    </r>
    <r>
      <rPr>
        <b/>
        <vertAlign val="superscript"/>
        <sz val="12"/>
        <color theme="1"/>
        <rFont val="Arial Narrow"/>
        <family val="2"/>
      </rPr>
      <t>ème</t>
    </r>
  </si>
  <si>
    <r>
      <t>14</t>
    </r>
    <r>
      <rPr>
        <b/>
        <vertAlign val="superscript"/>
        <sz val="12"/>
        <color theme="1"/>
        <rFont val="Arial Narrow"/>
        <family val="2"/>
      </rPr>
      <t>ème</t>
    </r>
  </si>
  <si>
    <r>
      <t>15</t>
    </r>
    <r>
      <rPr>
        <b/>
        <vertAlign val="superscript"/>
        <sz val="12"/>
        <color theme="1"/>
        <rFont val="Arial Narrow"/>
        <family val="2"/>
      </rPr>
      <t>ème</t>
    </r>
  </si>
  <si>
    <r>
      <t>16</t>
    </r>
    <r>
      <rPr>
        <b/>
        <vertAlign val="superscript"/>
        <sz val="12"/>
        <color theme="1"/>
        <rFont val="Arial Narrow"/>
        <family val="2"/>
      </rPr>
      <t>ème</t>
    </r>
  </si>
  <si>
    <r>
      <t>17</t>
    </r>
    <r>
      <rPr>
        <b/>
        <vertAlign val="superscript"/>
        <sz val="12"/>
        <color theme="1"/>
        <rFont val="Arial Narrow"/>
        <family val="2"/>
      </rPr>
      <t>ème</t>
    </r>
  </si>
  <si>
    <r>
      <t>18</t>
    </r>
    <r>
      <rPr>
        <b/>
        <vertAlign val="superscript"/>
        <sz val="12"/>
        <color theme="1"/>
        <rFont val="Arial Narrow"/>
        <family val="2"/>
      </rPr>
      <t>ème</t>
    </r>
  </si>
  <si>
    <r>
      <t>19</t>
    </r>
    <r>
      <rPr>
        <b/>
        <vertAlign val="superscript"/>
        <sz val="12"/>
        <color theme="1"/>
        <rFont val="Arial Narrow"/>
        <family val="2"/>
      </rPr>
      <t>ème</t>
    </r>
  </si>
  <si>
    <r>
      <t>20</t>
    </r>
    <r>
      <rPr>
        <b/>
        <vertAlign val="superscript"/>
        <sz val="12"/>
        <color theme="1"/>
        <rFont val="Arial Narrow"/>
        <family val="2"/>
      </rPr>
      <t>ème</t>
    </r>
  </si>
  <si>
    <r>
      <t>21</t>
    </r>
    <r>
      <rPr>
        <b/>
        <vertAlign val="superscript"/>
        <sz val="12"/>
        <color theme="1"/>
        <rFont val="Arial Narrow"/>
        <family val="2"/>
      </rPr>
      <t>ère</t>
    </r>
  </si>
  <si>
    <r>
      <t>22</t>
    </r>
    <r>
      <rPr>
        <b/>
        <vertAlign val="superscript"/>
        <sz val="12"/>
        <color theme="1"/>
        <rFont val="Arial Narrow"/>
        <family val="2"/>
      </rPr>
      <t>ème</t>
    </r>
  </si>
  <si>
    <r>
      <t>23</t>
    </r>
    <r>
      <rPr>
        <b/>
        <vertAlign val="superscript"/>
        <sz val="12"/>
        <color theme="1"/>
        <rFont val="Arial Narrow"/>
        <family val="2"/>
      </rPr>
      <t>ème</t>
    </r>
  </si>
  <si>
    <r>
      <t>24</t>
    </r>
    <r>
      <rPr>
        <b/>
        <vertAlign val="superscript"/>
        <sz val="12"/>
        <color theme="1"/>
        <rFont val="Arial Narrow"/>
        <family val="2"/>
      </rPr>
      <t>ème</t>
    </r>
  </si>
  <si>
    <r>
      <t>25</t>
    </r>
    <r>
      <rPr>
        <b/>
        <vertAlign val="superscript"/>
        <sz val="12"/>
        <color theme="1"/>
        <rFont val="Arial Narrow"/>
        <family val="2"/>
      </rPr>
      <t>ème</t>
    </r>
  </si>
  <si>
    <r>
      <t>26</t>
    </r>
    <r>
      <rPr>
        <b/>
        <vertAlign val="superscript"/>
        <sz val="12"/>
        <color theme="1"/>
        <rFont val="Arial Narrow"/>
        <family val="2"/>
      </rPr>
      <t>ème</t>
    </r>
  </si>
  <si>
    <r>
      <t>27</t>
    </r>
    <r>
      <rPr>
        <b/>
        <vertAlign val="superscript"/>
        <sz val="12"/>
        <color theme="1"/>
        <rFont val="Arial Narrow"/>
        <family val="2"/>
      </rPr>
      <t>ème</t>
    </r>
  </si>
  <si>
    <r>
      <t>28</t>
    </r>
    <r>
      <rPr>
        <b/>
        <vertAlign val="superscript"/>
        <sz val="12"/>
        <color theme="1"/>
        <rFont val="Arial Narrow"/>
        <family val="2"/>
      </rPr>
      <t>ème</t>
    </r>
  </si>
  <si>
    <r>
      <t>29</t>
    </r>
    <r>
      <rPr>
        <b/>
        <vertAlign val="superscript"/>
        <sz val="12"/>
        <color theme="1"/>
        <rFont val="Arial Narrow"/>
        <family val="2"/>
      </rPr>
      <t>ème</t>
    </r>
  </si>
  <si>
    <r>
      <t>30</t>
    </r>
    <r>
      <rPr>
        <b/>
        <vertAlign val="superscript"/>
        <sz val="12"/>
        <color theme="1"/>
        <rFont val="Arial Narrow"/>
        <family val="2"/>
      </rPr>
      <t>ème</t>
    </r>
  </si>
  <si>
    <r>
      <t>31</t>
    </r>
    <r>
      <rPr>
        <b/>
        <vertAlign val="superscript"/>
        <sz val="12"/>
        <color theme="1"/>
        <rFont val="Arial Narrow"/>
        <family val="2"/>
      </rPr>
      <t>ère</t>
    </r>
  </si>
  <si>
    <r>
      <t>32</t>
    </r>
    <r>
      <rPr>
        <b/>
        <vertAlign val="superscript"/>
        <sz val="12"/>
        <color theme="1"/>
        <rFont val="Arial Narrow"/>
        <family val="2"/>
      </rPr>
      <t>ème</t>
    </r>
  </si>
  <si>
    <r>
      <t>33</t>
    </r>
    <r>
      <rPr>
        <b/>
        <vertAlign val="superscript"/>
        <sz val="12"/>
        <color theme="1"/>
        <rFont val="Arial Narrow"/>
        <family val="2"/>
      </rPr>
      <t>ème</t>
    </r>
  </si>
  <si>
    <r>
      <t>34</t>
    </r>
    <r>
      <rPr>
        <b/>
        <vertAlign val="superscript"/>
        <sz val="12"/>
        <color theme="1"/>
        <rFont val="Arial Narrow"/>
        <family val="2"/>
      </rPr>
      <t>ème</t>
    </r>
  </si>
  <si>
    <r>
      <t>35</t>
    </r>
    <r>
      <rPr>
        <b/>
        <vertAlign val="superscript"/>
        <sz val="12"/>
        <color theme="1"/>
        <rFont val="Arial Narrow"/>
        <family val="2"/>
      </rPr>
      <t>ème</t>
    </r>
  </si>
  <si>
    <r>
      <t>36</t>
    </r>
    <r>
      <rPr>
        <b/>
        <vertAlign val="superscript"/>
        <sz val="12"/>
        <color theme="1"/>
        <rFont val="Arial Narrow"/>
        <family val="2"/>
      </rPr>
      <t>ème</t>
    </r>
  </si>
  <si>
    <r>
      <t>37</t>
    </r>
    <r>
      <rPr>
        <b/>
        <vertAlign val="superscript"/>
        <sz val="12"/>
        <color theme="1"/>
        <rFont val="Arial Narrow"/>
        <family val="2"/>
      </rPr>
      <t>ème</t>
    </r>
  </si>
  <si>
    <r>
      <t>38</t>
    </r>
    <r>
      <rPr>
        <b/>
        <vertAlign val="superscript"/>
        <sz val="12"/>
        <color theme="1"/>
        <rFont val="Arial Narrow"/>
        <family val="2"/>
      </rPr>
      <t>ème</t>
    </r>
  </si>
  <si>
    <r>
      <t>39</t>
    </r>
    <r>
      <rPr>
        <b/>
        <vertAlign val="superscript"/>
        <sz val="12"/>
        <color theme="1"/>
        <rFont val="Arial Narrow"/>
        <family val="2"/>
      </rPr>
      <t>ème</t>
    </r>
  </si>
  <si>
    <r>
      <t>40</t>
    </r>
    <r>
      <rPr>
        <b/>
        <vertAlign val="superscript"/>
        <sz val="12"/>
        <color theme="1"/>
        <rFont val="Arial Narrow"/>
        <family val="2"/>
      </rPr>
      <t>ème</t>
    </r>
  </si>
  <si>
    <r>
      <t>41</t>
    </r>
    <r>
      <rPr>
        <b/>
        <vertAlign val="superscript"/>
        <sz val="12"/>
        <color theme="1"/>
        <rFont val="Arial Narrow"/>
        <family val="2"/>
      </rPr>
      <t>ère</t>
    </r>
  </si>
  <si>
    <r>
      <t>42</t>
    </r>
    <r>
      <rPr>
        <b/>
        <vertAlign val="superscript"/>
        <sz val="12"/>
        <color theme="1"/>
        <rFont val="Arial Narrow"/>
        <family val="2"/>
      </rPr>
      <t>ème</t>
    </r>
  </si>
  <si>
    <r>
      <t>43</t>
    </r>
    <r>
      <rPr>
        <b/>
        <vertAlign val="superscript"/>
        <sz val="12"/>
        <color theme="1"/>
        <rFont val="Arial Narrow"/>
        <family val="2"/>
      </rPr>
      <t>ème</t>
    </r>
  </si>
  <si>
    <r>
      <t>44</t>
    </r>
    <r>
      <rPr>
        <b/>
        <vertAlign val="superscript"/>
        <sz val="12"/>
        <color theme="1"/>
        <rFont val="Arial Narrow"/>
        <family val="2"/>
      </rPr>
      <t>ème</t>
    </r>
  </si>
  <si>
    <t>Sont déclarés admis aux compositions de fin d'année scolaire 2023 - 2024 du  GSP                                                                                     CHRISTINE CAMARA , les élèves dont les Prénoms et NOM suivent par ordre de mérite:</t>
  </si>
  <si>
    <r>
      <t>RESULTAT DES COMPOSITIONS DE FIN</t>
    </r>
    <r>
      <rPr>
        <b/>
        <sz val="14"/>
        <color indexed="8"/>
        <rFont val="Arial Narrow"/>
        <family val="2"/>
      </rPr>
      <t xml:space="preserve"> D'ANNEE SCOLAIRE 2023 - 2024</t>
    </r>
  </si>
  <si>
    <r>
      <t>CLASSE: 9</t>
    </r>
    <r>
      <rPr>
        <b/>
        <vertAlign val="superscript"/>
        <sz val="14"/>
        <color indexed="8"/>
        <rFont val="Arial Narrow"/>
        <family val="2"/>
      </rPr>
      <t>ème</t>
    </r>
    <r>
      <rPr>
        <b/>
        <sz val="14"/>
        <color indexed="8"/>
        <rFont val="Arial Narrow"/>
        <family val="2"/>
      </rPr>
      <t xml:space="preserve"> ANNEE </t>
    </r>
  </si>
  <si>
    <r>
      <t>CLASSE: 8</t>
    </r>
    <r>
      <rPr>
        <b/>
        <vertAlign val="superscript"/>
        <sz val="14"/>
        <color indexed="8"/>
        <rFont val="Arial Narrow"/>
        <family val="2"/>
      </rPr>
      <t>ème</t>
    </r>
    <r>
      <rPr>
        <b/>
        <sz val="14"/>
        <color indexed="8"/>
        <rFont val="Arial Narrow"/>
        <family val="2"/>
      </rPr>
      <t xml:space="preserve"> ANNEE </t>
    </r>
  </si>
  <si>
    <r>
      <t>CLASSE: 7</t>
    </r>
    <r>
      <rPr>
        <b/>
        <vertAlign val="superscript"/>
        <sz val="14"/>
        <color indexed="8"/>
        <rFont val="Arial Narrow"/>
        <family val="2"/>
      </rPr>
      <t>ème</t>
    </r>
    <r>
      <rPr>
        <b/>
        <sz val="14"/>
        <color indexed="8"/>
        <rFont val="Arial Narrow"/>
        <family val="2"/>
      </rPr>
      <t xml:space="preserve"> ANNEE A</t>
    </r>
  </si>
  <si>
    <r>
      <t>CLASSE: 7</t>
    </r>
    <r>
      <rPr>
        <b/>
        <vertAlign val="superscript"/>
        <sz val="14"/>
        <color indexed="8"/>
        <rFont val="Arial Narrow"/>
        <family val="2"/>
      </rPr>
      <t>ème</t>
    </r>
    <r>
      <rPr>
        <b/>
        <sz val="14"/>
        <color indexed="8"/>
        <rFont val="Arial Narrow"/>
        <family val="2"/>
      </rPr>
      <t xml:space="preserve"> ANNEE B</t>
    </r>
  </si>
  <si>
    <t>MR  NEMA     SOUMAORO</t>
  </si>
  <si>
    <t>LE   PROVISEUR</t>
  </si>
  <si>
    <t>CONAKRY LE 26 JUIN 2024</t>
  </si>
  <si>
    <t>MR. TOURE Aguibou</t>
  </si>
  <si>
    <t>2e</t>
  </si>
  <si>
    <t>3e</t>
  </si>
  <si>
    <t>4e</t>
  </si>
  <si>
    <t>5e</t>
  </si>
  <si>
    <t>6e</t>
  </si>
  <si>
    <t>7e</t>
  </si>
  <si>
    <t>8e</t>
  </si>
  <si>
    <t>9e</t>
  </si>
  <si>
    <t>10e</t>
  </si>
  <si>
    <t>11e</t>
  </si>
  <si>
    <t>12e</t>
  </si>
  <si>
    <t>13e</t>
  </si>
  <si>
    <t>14e</t>
  </si>
  <si>
    <t>15e</t>
  </si>
  <si>
    <t>16e</t>
  </si>
  <si>
    <t>17e</t>
  </si>
  <si>
    <t>18e</t>
  </si>
  <si>
    <t>19e</t>
  </si>
  <si>
    <t>20ème</t>
  </si>
  <si>
    <t>21er</t>
  </si>
  <si>
    <t>22e</t>
  </si>
  <si>
    <t>23e</t>
  </si>
  <si>
    <t>24e</t>
  </si>
  <si>
    <t>25e</t>
  </si>
  <si>
    <t>26e</t>
  </si>
  <si>
    <t>27e</t>
  </si>
  <si>
    <t>28e</t>
  </si>
  <si>
    <t>29e</t>
  </si>
  <si>
    <t>30ème</t>
  </si>
  <si>
    <t>31er</t>
  </si>
  <si>
    <t>32e</t>
  </si>
  <si>
    <t>33e</t>
  </si>
  <si>
    <t>34e</t>
  </si>
  <si>
    <t>35e</t>
  </si>
  <si>
    <t>36e</t>
  </si>
  <si>
    <t>37e</t>
  </si>
  <si>
    <t>38e</t>
  </si>
  <si>
    <t>39e</t>
  </si>
  <si>
    <t>40ème</t>
  </si>
  <si>
    <t>41er</t>
  </si>
  <si>
    <t>42e</t>
  </si>
  <si>
    <t>43e</t>
  </si>
  <si>
    <t>44e</t>
  </si>
  <si>
    <t>45e</t>
  </si>
  <si>
    <t>46e</t>
  </si>
  <si>
    <t>47e</t>
  </si>
  <si>
    <t>48e</t>
  </si>
  <si>
    <t>49e</t>
  </si>
  <si>
    <t>50ème</t>
  </si>
  <si>
    <t>51er</t>
  </si>
  <si>
    <t>52e</t>
  </si>
  <si>
    <t>53e</t>
  </si>
  <si>
    <t>54e</t>
  </si>
  <si>
    <t>55e</t>
  </si>
  <si>
    <t>56e</t>
  </si>
  <si>
    <t>57e</t>
  </si>
  <si>
    <t>58e</t>
  </si>
  <si>
    <t>59e</t>
  </si>
  <si>
    <t>TABLEAU       STATISTIQUE</t>
  </si>
  <si>
    <t>S</t>
  </si>
  <si>
    <t>ABOUBACAR                         CISSE</t>
  </si>
  <si>
    <t>ABOUBACAR                            BAH</t>
  </si>
  <si>
    <t>MAMADOU    BAILLO          BAH</t>
  </si>
  <si>
    <t>ABDOULAYE                              BAH</t>
  </si>
  <si>
    <t>MARCELIN                            BREYA</t>
  </si>
  <si>
    <t>OUMOU     HAWA                DIALLO</t>
  </si>
  <si>
    <t>RABIATOU                            DIALLO</t>
  </si>
  <si>
    <t>SAYON                               DIAWARA</t>
  </si>
  <si>
    <t>VERONIQUE                KPOGHOMOU</t>
  </si>
  <si>
    <t>ADAMA                                 BARRY</t>
  </si>
  <si>
    <t>AMINATOU                             BARRY</t>
  </si>
  <si>
    <t>FATOUMATA    DJARRAYE    BALDE</t>
  </si>
  <si>
    <r>
      <t>2e</t>
    </r>
    <r>
      <rPr>
        <b/>
        <vertAlign val="superscript"/>
        <sz val="11"/>
        <color theme="1"/>
        <rFont val="Arial Narrow"/>
        <family val="2"/>
      </rPr>
      <t/>
    </r>
  </si>
  <si>
    <r>
      <t>3e</t>
    </r>
    <r>
      <rPr>
        <b/>
        <vertAlign val="superscript"/>
        <sz val="11"/>
        <color theme="1"/>
        <rFont val="Arial Narrow"/>
        <family val="2"/>
      </rPr>
      <t/>
    </r>
  </si>
  <si>
    <r>
      <t>4e</t>
    </r>
    <r>
      <rPr>
        <b/>
        <vertAlign val="superscript"/>
        <sz val="11"/>
        <color theme="1"/>
        <rFont val="Arial Narrow"/>
        <family val="2"/>
      </rPr>
      <t/>
    </r>
  </si>
  <si>
    <r>
      <t>5e</t>
    </r>
    <r>
      <rPr>
        <b/>
        <vertAlign val="superscript"/>
        <sz val="11"/>
        <color theme="1"/>
        <rFont val="Arial Narrow"/>
        <family val="2"/>
      </rPr>
      <t/>
    </r>
  </si>
  <si>
    <r>
      <t>6e</t>
    </r>
    <r>
      <rPr>
        <b/>
        <vertAlign val="superscript"/>
        <sz val="11"/>
        <color theme="1"/>
        <rFont val="Arial Narrow"/>
        <family val="2"/>
      </rPr>
      <t/>
    </r>
  </si>
  <si>
    <r>
      <t>7e</t>
    </r>
    <r>
      <rPr>
        <b/>
        <vertAlign val="superscript"/>
        <sz val="11"/>
        <color theme="1"/>
        <rFont val="Arial Narrow"/>
        <family val="2"/>
      </rPr>
      <t/>
    </r>
  </si>
  <si>
    <r>
      <t>8e</t>
    </r>
    <r>
      <rPr>
        <b/>
        <vertAlign val="superscript"/>
        <sz val="11"/>
        <color theme="1"/>
        <rFont val="Arial Narrow"/>
        <family val="2"/>
      </rPr>
      <t/>
    </r>
  </si>
  <si>
    <r>
      <t>9e</t>
    </r>
    <r>
      <rPr>
        <b/>
        <vertAlign val="superscript"/>
        <sz val="11"/>
        <color theme="1"/>
        <rFont val="Arial Narrow"/>
        <family val="2"/>
      </rPr>
      <t/>
    </r>
  </si>
  <si>
    <r>
      <t>10e</t>
    </r>
    <r>
      <rPr>
        <b/>
        <vertAlign val="superscript"/>
        <sz val="11"/>
        <color theme="1"/>
        <rFont val="Arial Narrow"/>
        <family val="2"/>
      </rPr>
      <t/>
    </r>
  </si>
  <si>
    <r>
      <t>11e</t>
    </r>
    <r>
      <rPr>
        <b/>
        <vertAlign val="superscript"/>
        <sz val="11"/>
        <color theme="1"/>
        <rFont val="Arial Narrow"/>
        <family val="2"/>
      </rPr>
      <t/>
    </r>
  </si>
  <si>
    <r>
      <t>12e</t>
    </r>
    <r>
      <rPr>
        <b/>
        <vertAlign val="superscript"/>
        <sz val="11"/>
        <color theme="1"/>
        <rFont val="Arial Narrow"/>
        <family val="2"/>
      </rPr>
      <t/>
    </r>
  </si>
  <si>
    <r>
      <t>13e</t>
    </r>
    <r>
      <rPr>
        <b/>
        <vertAlign val="superscript"/>
        <sz val="11"/>
        <color theme="1"/>
        <rFont val="Arial Narrow"/>
        <family val="2"/>
      </rPr>
      <t/>
    </r>
  </si>
  <si>
    <r>
      <t>14e</t>
    </r>
    <r>
      <rPr>
        <b/>
        <vertAlign val="superscript"/>
        <sz val="11"/>
        <color theme="1"/>
        <rFont val="Arial Narrow"/>
        <family val="2"/>
      </rPr>
      <t/>
    </r>
  </si>
  <si>
    <r>
      <t>15e</t>
    </r>
    <r>
      <rPr>
        <b/>
        <vertAlign val="superscript"/>
        <sz val="11"/>
        <color theme="1"/>
        <rFont val="Arial Narrow"/>
        <family val="2"/>
      </rPr>
      <t/>
    </r>
  </si>
  <si>
    <r>
      <t>16e</t>
    </r>
    <r>
      <rPr>
        <b/>
        <vertAlign val="superscript"/>
        <sz val="11"/>
        <color theme="1"/>
        <rFont val="Arial Narrow"/>
        <family val="2"/>
      </rPr>
      <t/>
    </r>
  </si>
  <si>
    <r>
      <t>17e</t>
    </r>
    <r>
      <rPr>
        <b/>
        <vertAlign val="superscript"/>
        <sz val="11"/>
        <color theme="1"/>
        <rFont val="Arial Narrow"/>
        <family val="2"/>
      </rPr>
      <t/>
    </r>
  </si>
  <si>
    <r>
      <t>18e</t>
    </r>
    <r>
      <rPr>
        <b/>
        <vertAlign val="superscript"/>
        <sz val="11"/>
        <color theme="1"/>
        <rFont val="Arial Narrow"/>
        <family val="2"/>
      </rPr>
      <t/>
    </r>
  </si>
  <si>
    <r>
      <t>19e</t>
    </r>
    <r>
      <rPr>
        <b/>
        <vertAlign val="superscript"/>
        <sz val="11"/>
        <color theme="1"/>
        <rFont val="Arial Narrow"/>
        <family val="2"/>
      </rPr>
      <t/>
    </r>
  </si>
  <si>
    <r>
      <t>20ème</t>
    </r>
    <r>
      <rPr>
        <b/>
        <vertAlign val="superscript"/>
        <sz val="11"/>
        <color theme="1"/>
        <rFont val="Arial Narrow"/>
        <family val="2"/>
      </rPr>
      <t/>
    </r>
  </si>
  <si>
    <r>
      <t>22e</t>
    </r>
    <r>
      <rPr>
        <b/>
        <vertAlign val="superscript"/>
        <sz val="11"/>
        <color theme="1"/>
        <rFont val="Arial Narrow"/>
        <family val="2"/>
      </rPr>
      <t/>
    </r>
  </si>
  <si>
    <r>
      <t>23e</t>
    </r>
    <r>
      <rPr>
        <b/>
        <vertAlign val="superscript"/>
        <sz val="11"/>
        <color theme="1"/>
        <rFont val="Arial Narrow"/>
        <family val="2"/>
      </rPr>
      <t/>
    </r>
  </si>
  <si>
    <r>
      <t>24e</t>
    </r>
    <r>
      <rPr>
        <b/>
        <vertAlign val="superscript"/>
        <sz val="11"/>
        <color theme="1"/>
        <rFont val="Arial Narrow"/>
        <family val="2"/>
      </rPr>
      <t/>
    </r>
  </si>
  <si>
    <r>
      <t>25e</t>
    </r>
    <r>
      <rPr>
        <b/>
        <vertAlign val="superscript"/>
        <sz val="11"/>
        <color theme="1"/>
        <rFont val="Arial Narrow"/>
        <family val="2"/>
      </rPr>
      <t/>
    </r>
  </si>
  <si>
    <r>
      <t>26e</t>
    </r>
    <r>
      <rPr>
        <b/>
        <vertAlign val="superscript"/>
        <sz val="11"/>
        <color theme="1"/>
        <rFont val="Arial Narrow"/>
        <family val="2"/>
      </rPr>
      <t/>
    </r>
  </si>
  <si>
    <r>
      <t>27e</t>
    </r>
    <r>
      <rPr>
        <b/>
        <vertAlign val="superscript"/>
        <sz val="11"/>
        <color theme="1"/>
        <rFont val="Arial Narrow"/>
        <family val="2"/>
      </rPr>
      <t/>
    </r>
  </si>
  <si>
    <r>
      <t>28e</t>
    </r>
    <r>
      <rPr>
        <b/>
        <vertAlign val="superscript"/>
        <sz val="11"/>
        <color theme="1"/>
        <rFont val="Arial Narrow"/>
        <family val="2"/>
      </rPr>
      <t/>
    </r>
  </si>
  <si>
    <r>
      <t>29e</t>
    </r>
    <r>
      <rPr>
        <b/>
        <vertAlign val="superscript"/>
        <sz val="11"/>
        <color theme="1"/>
        <rFont val="Arial Narrow"/>
        <family val="2"/>
      </rPr>
      <t/>
    </r>
  </si>
  <si>
    <r>
      <t>30ème</t>
    </r>
    <r>
      <rPr>
        <b/>
        <vertAlign val="superscript"/>
        <sz val="11"/>
        <color theme="1"/>
        <rFont val="Arial Narrow"/>
        <family val="2"/>
      </rPr>
      <t/>
    </r>
  </si>
  <si>
    <r>
      <t>32e</t>
    </r>
    <r>
      <rPr>
        <b/>
        <vertAlign val="superscript"/>
        <sz val="11"/>
        <color theme="1"/>
        <rFont val="Arial Narrow"/>
        <family val="2"/>
      </rPr>
      <t/>
    </r>
  </si>
  <si>
    <r>
      <t>33e</t>
    </r>
    <r>
      <rPr>
        <b/>
        <vertAlign val="superscript"/>
        <sz val="11"/>
        <color theme="1"/>
        <rFont val="Arial Narrow"/>
        <family val="2"/>
      </rPr>
      <t/>
    </r>
  </si>
  <si>
    <t>STATISTIQUES</t>
  </si>
  <si>
    <r>
      <t>CLASSE: 11</t>
    </r>
    <r>
      <rPr>
        <b/>
        <vertAlign val="superscript"/>
        <sz val="14"/>
        <color indexed="8"/>
        <rFont val="Arial Narrow"/>
        <family val="2"/>
      </rPr>
      <t>ème</t>
    </r>
    <r>
      <rPr>
        <b/>
        <sz val="14"/>
        <color indexed="8"/>
        <rFont val="Arial Narrow"/>
        <family val="2"/>
      </rPr>
      <t xml:space="preserve"> ANNEE SERIE LITTERAIRE</t>
    </r>
  </si>
  <si>
    <r>
      <t>CLASSE: 11</t>
    </r>
    <r>
      <rPr>
        <b/>
        <vertAlign val="superscript"/>
        <sz val="14"/>
        <color indexed="8"/>
        <rFont val="Arial Narrow"/>
        <family val="2"/>
      </rPr>
      <t>ème</t>
    </r>
    <r>
      <rPr>
        <b/>
        <sz val="14"/>
        <color indexed="8"/>
        <rFont val="Arial Narrow"/>
        <family val="2"/>
      </rPr>
      <t xml:space="preserve"> ANNEE SERIE SCIENTIFIQUE</t>
    </r>
  </si>
  <si>
    <r>
      <t>CLASSE: 12</t>
    </r>
    <r>
      <rPr>
        <b/>
        <vertAlign val="superscript"/>
        <sz val="14"/>
        <color indexed="8"/>
        <rFont val="Arial Narrow"/>
        <family val="2"/>
      </rPr>
      <t>ème</t>
    </r>
    <r>
      <rPr>
        <b/>
        <sz val="14"/>
        <color indexed="8"/>
        <rFont val="Arial Narrow"/>
        <family val="2"/>
      </rPr>
      <t xml:space="preserve"> ANNEE SE</t>
    </r>
  </si>
  <si>
    <r>
      <t>CLASSE: 12</t>
    </r>
    <r>
      <rPr>
        <b/>
        <vertAlign val="superscript"/>
        <sz val="14"/>
        <color indexed="8"/>
        <rFont val="Arial Narrow"/>
        <family val="2"/>
      </rPr>
      <t>ème</t>
    </r>
    <r>
      <rPr>
        <b/>
        <sz val="14"/>
        <color indexed="8"/>
        <rFont val="Arial Narrow"/>
        <family val="2"/>
      </rPr>
      <t xml:space="preserve"> ANNEE SM</t>
    </r>
  </si>
  <si>
    <t>TABLEAU STATISTIQUES</t>
  </si>
  <si>
    <t>FRANCOIS                       SOROPOGUI</t>
  </si>
  <si>
    <r>
      <t>CLASSE: 12</t>
    </r>
    <r>
      <rPr>
        <b/>
        <vertAlign val="superscript"/>
        <sz val="14"/>
        <color indexed="8"/>
        <rFont val="Arial Narrow"/>
        <family val="2"/>
      </rPr>
      <t>ème</t>
    </r>
    <r>
      <rPr>
        <b/>
        <sz val="14"/>
        <color indexed="8"/>
        <rFont val="Arial Narrow"/>
        <family val="2"/>
      </rPr>
      <t xml:space="preserve"> ANNEE SS</t>
    </r>
  </si>
  <si>
    <t>SENY              DORE</t>
  </si>
  <si>
    <t>MAMADOU  SALIOU    BARRY</t>
  </si>
  <si>
    <t>HASSANE   BAILO  DIALLO</t>
  </si>
  <si>
    <t>9.91</t>
  </si>
  <si>
    <t>3.51</t>
  </si>
  <si>
    <t>9.11</t>
  </si>
  <si>
    <t>SALILOU                               BARRY</t>
  </si>
  <si>
    <t>RAMATOULAYE                      SOW</t>
  </si>
  <si>
    <t>FATIM                           CHERIF</t>
  </si>
  <si>
    <t>FRANCOIS               SOROPOGUI</t>
  </si>
  <si>
    <r>
      <t>1</t>
    </r>
    <r>
      <rPr>
        <b/>
        <vertAlign val="superscript"/>
        <sz val="14"/>
        <color theme="1"/>
        <rFont val="Arial Narrow"/>
        <family val="2"/>
      </rPr>
      <t>ère</t>
    </r>
  </si>
  <si>
    <r>
      <t>2</t>
    </r>
    <r>
      <rPr>
        <b/>
        <vertAlign val="superscript"/>
        <sz val="14"/>
        <color theme="1"/>
        <rFont val="Arial Narrow"/>
        <family val="2"/>
      </rPr>
      <t>ème</t>
    </r>
  </si>
  <si>
    <r>
      <t>3</t>
    </r>
    <r>
      <rPr>
        <b/>
        <vertAlign val="superscript"/>
        <sz val="14"/>
        <color theme="1"/>
        <rFont val="Arial Narrow"/>
        <family val="2"/>
      </rPr>
      <t>ème</t>
    </r>
  </si>
  <si>
    <r>
      <t>4</t>
    </r>
    <r>
      <rPr>
        <b/>
        <vertAlign val="superscript"/>
        <sz val="14"/>
        <color theme="1"/>
        <rFont val="Arial Narrow"/>
        <family val="2"/>
      </rPr>
      <t>ème</t>
    </r>
  </si>
  <si>
    <r>
      <t>5</t>
    </r>
    <r>
      <rPr>
        <b/>
        <vertAlign val="superscript"/>
        <sz val="14"/>
        <color theme="1"/>
        <rFont val="Arial Narrow"/>
        <family val="2"/>
      </rPr>
      <t>ème</t>
    </r>
  </si>
  <si>
    <r>
      <t>6</t>
    </r>
    <r>
      <rPr>
        <b/>
        <vertAlign val="superscript"/>
        <sz val="14"/>
        <color theme="1"/>
        <rFont val="Arial Narrow"/>
        <family val="2"/>
      </rPr>
      <t>ème</t>
    </r>
  </si>
  <si>
    <r>
      <t>7</t>
    </r>
    <r>
      <rPr>
        <b/>
        <vertAlign val="superscript"/>
        <sz val="14"/>
        <color theme="1"/>
        <rFont val="Arial Narrow"/>
        <family val="2"/>
      </rPr>
      <t>ème</t>
    </r>
  </si>
  <si>
    <r>
      <t>8</t>
    </r>
    <r>
      <rPr>
        <b/>
        <vertAlign val="superscript"/>
        <sz val="14"/>
        <color theme="1"/>
        <rFont val="Arial Narrow"/>
        <family val="2"/>
      </rPr>
      <t>ème</t>
    </r>
  </si>
  <si>
    <r>
      <t>9</t>
    </r>
    <r>
      <rPr>
        <b/>
        <vertAlign val="superscript"/>
        <sz val="14"/>
        <color theme="1"/>
        <rFont val="Arial Narrow"/>
        <family val="2"/>
      </rPr>
      <t>ème</t>
    </r>
  </si>
  <si>
    <r>
      <t>10</t>
    </r>
    <r>
      <rPr>
        <b/>
        <vertAlign val="superscript"/>
        <sz val="14"/>
        <color theme="1"/>
        <rFont val="Arial Narrow"/>
        <family val="2"/>
      </rPr>
      <t>ème</t>
    </r>
  </si>
  <si>
    <r>
      <t>11</t>
    </r>
    <r>
      <rPr>
        <b/>
        <vertAlign val="superscript"/>
        <sz val="14"/>
        <color theme="1"/>
        <rFont val="Arial Narrow"/>
        <family val="2"/>
      </rPr>
      <t>ème</t>
    </r>
  </si>
  <si>
    <r>
      <t>12</t>
    </r>
    <r>
      <rPr>
        <b/>
        <vertAlign val="superscript"/>
        <sz val="14"/>
        <color theme="1"/>
        <rFont val="Arial Narrow"/>
        <family val="2"/>
      </rPr>
      <t>ème</t>
    </r>
  </si>
  <si>
    <r>
      <t>13</t>
    </r>
    <r>
      <rPr>
        <b/>
        <vertAlign val="superscript"/>
        <sz val="14"/>
        <color theme="1"/>
        <rFont val="Arial Narrow"/>
        <family val="2"/>
      </rPr>
      <t>ème</t>
    </r>
  </si>
  <si>
    <r>
      <t>14</t>
    </r>
    <r>
      <rPr>
        <b/>
        <vertAlign val="superscript"/>
        <sz val="14"/>
        <color theme="1"/>
        <rFont val="Arial Narrow"/>
        <family val="2"/>
      </rPr>
      <t>ème</t>
    </r>
  </si>
  <si>
    <r>
      <t>15</t>
    </r>
    <r>
      <rPr>
        <b/>
        <vertAlign val="superscript"/>
        <sz val="14"/>
        <color theme="1"/>
        <rFont val="Arial Narrow"/>
        <family val="2"/>
      </rPr>
      <t>ème</t>
    </r>
  </si>
  <si>
    <r>
      <t>16</t>
    </r>
    <r>
      <rPr>
        <b/>
        <vertAlign val="superscript"/>
        <sz val="14"/>
        <color theme="1"/>
        <rFont val="Arial Narrow"/>
        <family val="2"/>
      </rPr>
      <t>ème</t>
    </r>
  </si>
  <si>
    <r>
      <t>17</t>
    </r>
    <r>
      <rPr>
        <b/>
        <vertAlign val="superscript"/>
        <sz val="14"/>
        <color theme="1"/>
        <rFont val="Arial Narrow"/>
        <family val="2"/>
      </rPr>
      <t>ème</t>
    </r>
  </si>
  <si>
    <r>
      <t>18</t>
    </r>
    <r>
      <rPr>
        <b/>
        <vertAlign val="superscript"/>
        <sz val="14"/>
        <color theme="1"/>
        <rFont val="Arial Narrow"/>
        <family val="2"/>
      </rPr>
      <t>ème</t>
    </r>
  </si>
  <si>
    <r>
      <t>19</t>
    </r>
    <r>
      <rPr>
        <b/>
        <vertAlign val="superscript"/>
        <sz val="14"/>
        <color theme="1"/>
        <rFont val="Arial Narrow"/>
        <family val="2"/>
      </rPr>
      <t>ème</t>
    </r>
  </si>
  <si>
    <r>
      <t>20</t>
    </r>
    <r>
      <rPr>
        <b/>
        <vertAlign val="superscript"/>
        <sz val="14"/>
        <color theme="1"/>
        <rFont val="Arial Narrow"/>
        <family val="2"/>
      </rPr>
      <t>ème</t>
    </r>
  </si>
  <si>
    <r>
      <t>21</t>
    </r>
    <r>
      <rPr>
        <b/>
        <vertAlign val="superscript"/>
        <sz val="14"/>
        <color theme="1"/>
        <rFont val="Arial Narrow"/>
        <family val="2"/>
      </rPr>
      <t>ère</t>
    </r>
  </si>
  <si>
    <r>
      <t>22</t>
    </r>
    <r>
      <rPr>
        <b/>
        <vertAlign val="superscript"/>
        <sz val="14"/>
        <color theme="1"/>
        <rFont val="Arial Narrow"/>
        <family val="2"/>
      </rPr>
      <t>ème</t>
    </r>
  </si>
  <si>
    <r>
      <t>23</t>
    </r>
    <r>
      <rPr>
        <b/>
        <vertAlign val="superscript"/>
        <sz val="14"/>
        <color theme="1"/>
        <rFont val="Arial Narrow"/>
        <family val="2"/>
      </rPr>
      <t>ème</t>
    </r>
  </si>
  <si>
    <r>
      <t>24</t>
    </r>
    <r>
      <rPr>
        <b/>
        <vertAlign val="superscript"/>
        <sz val="14"/>
        <color theme="1"/>
        <rFont val="Arial Narrow"/>
        <family val="2"/>
      </rPr>
      <t>ème</t>
    </r>
  </si>
  <si>
    <r>
      <t>25</t>
    </r>
    <r>
      <rPr>
        <b/>
        <vertAlign val="superscript"/>
        <sz val="14"/>
        <color theme="1"/>
        <rFont val="Arial Narrow"/>
        <family val="2"/>
      </rPr>
      <t>ème</t>
    </r>
  </si>
  <si>
    <r>
      <t>26</t>
    </r>
    <r>
      <rPr>
        <b/>
        <vertAlign val="superscript"/>
        <sz val="14"/>
        <color theme="1"/>
        <rFont val="Arial Narrow"/>
        <family val="2"/>
      </rPr>
      <t>ème</t>
    </r>
  </si>
  <si>
    <r>
      <t>27</t>
    </r>
    <r>
      <rPr>
        <b/>
        <vertAlign val="superscript"/>
        <sz val="14"/>
        <color theme="1"/>
        <rFont val="Arial Narrow"/>
        <family val="2"/>
      </rPr>
      <t>ème</t>
    </r>
  </si>
  <si>
    <r>
      <t>28</t>
    </r>
    <r>
      <rPr>
        <b/>
        <vertAlign val="superscript"/>
        <sz val="14"/>
        <color theme="1"/>
        <rFont val="Arial Narrow"/>
        <family val="2"/>
      </rPr>
      <t>ème</t>
    </r>
  </si>
  <si>
    <r>
      <t>29</t>
    </r>
    <r>
      <rPr>
        <b/>
        <vertAlign val="superscript"/>
        <sz val="14"/>
        <color theme="1"/>
        <rFont val="Arial Narrow"/>
        <family val="2"/>
      </rPr>
      <t>ème</t>
    </r>
  </si>
  <si>
    <r>
      <t>30</t>
    </r>
    <r>
      <rPr>
        <b/>
        <vertAlign val="superscript"/>
        <sz val="14"/>
        <color theme="1"/>
        <rFont val="Arial Narrow"/>
        <family val="2"/>
      </rPr>
      <t>ème</t>
    </r>
  </si>
  <si>
    <r>
      <t>31</t>
    </r>
    <r>
      <rPr>
        <b/>
        <vertAlign val="superscript"/>
        <sz val="14"/>
        <color theme="1"/>
        <rFont val="Arial Narrow"/>
        <family val="2"/>
      </rPr>
      <t>ère</t>
    </r>
  </si>
  <si>
    <r>
      <t>32</t>
    </r>
    <r>
      <rPr>
        <b/>
        <vertAlign val="superscript"/>
        <sz val="14"/>
        <color theme="1"/>
        <rFont val="Arial Narrow"/>
        <family val="2"/>
      </rPr>
      <t>ème</t>
    </r>
  </si>
  <si>
    <r>
      <t>33</t>
    </r>
    <r>
      <rPr>
        <b/>
        <vertAlign val="superscript"/>
        <sz val="14"/>
        <color theme="1"/>
        <rFont val="Arial Narrow"/>
        <family val="2"/>
      </rPr>
      <t>ème</t>
    </r>
  </si>
  <si>
    <r>
      <t>34</t>
    </r>
    <r>
      <rPr>
        <b/>
        <vertAlign val="superscript"/>
        <sz val="14"/>
        <color theme="1"/>
        <rFont val="Arial Narrow"/>
        <family val="2"/>
      </rPr>
      <t>ème</t>
    </r>
  </si>
  <si>
    <r>
      <t>35</t>
    </r>
    <r>
      <rPr>
        <b/>
        <vertAlign val="superscript"/>
        <sz val="14"/>
        <color theme="1"/>
        <rFont val="Arial Narrow"/>
        <family val="2"/>
      </rPr>
      <t>ème</t>
    </r>
  </si>
  <si>
    <r>
      <t>36</t>
    </r>
    <r>
      <rPr>
        <b/>
        <vertAlign val="superscript"/>
        <sz val="14"/>
        <color theme="1"/>
        <rFont val="Arial Narrow"/>
        <family val="2"/>
      </rPr>
      <t>ème</t>
    </r>
  </si>
  <si>
    <r>
      <t>37</t>
    </r>
    <r>
      <rPr>
        <b/>
        <vertAlign val="superscript"/>
        <sz val="14"/>
        <color theme="1"/>
        <rFont val="Arial Narrow"/>
        <family val="2"/>
      </rPr>
      <t>ème</t>
    </r>
  </si>
  <si>
    <r>
      <t>38</t>
    </r>
    <r>
      <rPr>
        <b/>
        <vertAlign val="superscript"/>
        <sz val="14"/>
        <color theme="1"/>
        <rFont val="Arial Narrow"/>
        <family val="2"/>
      </rPr>
      <t>ème</t>
    </r>
  </si>
  <si>
    <r>
      <t>39</t>
    </r>
    <r>
      <rPr>
        <b/>
        <vertAlign val="superscript"/>
        <sz val="14"/>
        <color theme="1"/>
        <rFont val="Arial Narrow"/>
        <family val="2"/>
      </rPr>
      <t>ème</t>
    </r>
  </si>
  <si>
    <r>
      <t>40</t>
    </r>
    <r>
      <rPr>
        <b/>
        <vertAlign val="superscript"/>
        <sz val="14"/>
        <color theme="1"/>
        <rFont val="Arial Narrow"/>
        <family val="2"/>
      </rPr>
      <t>ème</t>
    </r>
  </si>
  <si>
    <r>
      <t>41</t>
    </r>
    <r>
      <rPr>
        <b/>
        <vertAlign val="superscript"/>
        <sz val="14"/>
        <color theme="1"/>
        <rFont val="Arial Narrow"/>
        <family val="2"/>
      </rPr>
      <t>ère</t>
    </r>
  </si>
  <si>
    <r>
      <t>42</t>
    </r>
    <r>
      <rPr>
        <b/>
        <vertAlign val="superscript"/>
        <sz val="14"/>
        <color theme="1"/>
        <rFont val="Arial Narrow"/>
        <family val="2"/>
      </rPr>
      <t>ème</t>
    </r>
  </si>
  <si>
    <r>
      <t>43</t>
    </r>
    <r>
      <rPr>
        <b/>
        <vertAlign val="superscript"/>
        <sz val="14"/>
        <color theme="1"/>
        <rFont val="Arial Narrow"/>
        <family val="2"/>
      </rPr>
      <t>ème</t>
    </r>
  </si>
  <si>
    <r>
      <t>44</t>
    </r>
    <r>
      <rPr>
        <b/>
        <vertAlign val="superscript"/>
        <sz val="14"/>
        <color theme="1"/>
        <rFont val="Arial Narrow"/>
        <family val="2"/>
      </rPr>
      <t>ème</t>
    </r>
  </si>
  <si>
    <r>
      <t>45</t>
    </r>
    <r>
      <rPr>
        <b/>
        <vertAlign val="superscript"/>
        <sz val="14"/>
        <color theme="1"/>
        <rFont val="Arial Narrow"/>
        <family val="2"/>
      </rPr>
      <t>ème</t>
    </r>
  </si>
  <si>
    <r>
      <t>46</t>
    </r>
    <r>
      <rPr>
        <b/>
        <vertAlign val="superscript"/>
        <sz val="14"/>
        <color theme="1"/>
        <rFont val="Arial Narrow"/>
        <family val="2"/>
      </rPr>
      <t>ème</t>
    </r>
  </si>
  <si>
    <r>
      <t>47</t>
    </r>
    <r>
      <rPr>
        <b/>
        <vertAlign val="superscript"/>
        <sz val="14"/>
        <color theme="1"/>
        <rFont val="Arial Narrow"/>
        <family val="2"/>
      </rPr>
      <t>ème</t>
    </r>
  </si>
  <si>
    <r>
      <t>48</t>
    </r>
    <r>
      <rPr>
        <b/>
        <vertAlign val="superscript"/>
        <sz val="14"/>
        <color theme="1"/>
        <rFont val="Arial Narrow"/>
        <family val="2"/>
      </rPr>
      <t>ème</t>
    </r>
  </si>
  <si>
    <r>
      <t>49</t>
    </r>
    <r>
      <rPr>
        <b/>
        <vertAlign val="superscript"/>
        <sz val="14"/>
        <color theme="1"/>
        <rFont val="Arial Narrow"/>
        <family val="2"/>
      </rPr>
      <t>ème</t>
    </r>
  </si>
  <si>
    <r>
      <t>50</t>
    </r>
    <r>
      <rPr>
        <b/>
        <vertAlign val="superscript"/>
        <sz val="14"/>
        <color theme="1"/>
        <rFont val="Arial Narrow"/>
        <family val="2"/>
      </rPr>
      <t>ème</t>
    </r>
  </si>
  <si>
    <r>
      <t>51</t>
    </r>
    <r>
      <rPr>
        <b/>
        <vertAlign val="superscript"/>
        <sz val="14"/>
        <color theme="1"/>
        <rFont val="Arial Narrow"/>
        <family val="2"/>
      </rPr>
      <t>ère</t>
    </r>
  </si>
  <si>
    <r>
      <t>52</t>
    </r>
    <r>
      <rPr>
        <b/>
        <vertAlign val="superscript"/>
        <sz val="14"/>
        <color theme="1"/>
        <rFont val="Arial Narrow"/>
        <family val="2"/>
      </rPr>
      <t>ème</t>
    </r>
  </si>
  <si>
    <r>
      <t>53</t>
    </r>
    <r>
      <rPr>
        <b/>
        <vertAlign val="superscript"/>
        <sz val="14"/>
        <color theme="1"/>
        <rFont val="Arial Narrow"/>
        <family val="2"/>
      </rPr>
      <t>ème</t>
    </r>
  </si>
  <si>
    <t>KADIATOU                    KOULIBALY</t>
  </si>
  <si>
    <t>FATOUMATA  LAMARANA  DIALLO</t>
  </si>
  <si>
    <t>MARIAME                  DOUMBOUYA</t>
  </si>
  <si>
    <r>
      <t>1</t>
    </r>
    <r>
      <rPr>
        <b/>
        <vertAlign val="superscript"/>
        <sz val="14"/>
        <color theme="1"/>
        <rFont val="Arial Narrow"/>
        <family val="2"/>
      </rPr>
      <t>er</t>
    </r>
  </si>
  <si>
    <r>
      <t>21</t>
    </r>
    <r>
      <rPr>
        <b/>
        <vertAlign val="superscript"/>
        <sz val="14"/>
        <color theme="1"/>
        <rFont val="Arial Narrow"/>
        <family val="2"/>
      </rPr>
      <t>er</t>
    </r>
  </si>
  <si>
    <r>
      <t>31</t>
    </r>
    <r>
      <rPr>
        <b/>
        <vertAlign val="superscript"/>
        <sz val="14"/>
        <color theme="1"/>
        <rFont val="Arial Narrow"/>
        <family val="2"/>
      </rPr>
      <t>er</t>
    </r>
  </si>
  <si>
    <t>M'BALOU                                   KABA</t>
  </si>
  <si>
    <t>AGNES                               LOUA</t>
  </si>
  <si>
    <t>MAMOUDOU                       KEITA</t>
  </si>
  <si>
    <t>CHEICK        AHMED    THIAO</t>
  </si>
  <si>
    <t>SALILOU                      BARRY</t>
  </si>
  <si>
    <t>ASSIATOU                       BAH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</si>
</sst>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-* #,##0_-;\-* #,##0_-;_-* &quot;-&quot;_-;_-@_-"/>
    <numFmt numFmtId="165" formatCode="_-* #,##0.00_-;\-* #,##0.00_-;_-* &quot;-&quot;??_-;_-@_-"/>
    <numFmt numFmtId="166" formatCode="_-* #,##0.00\ _€_-;\-* #,##0.00\ _€_-;_-* &quot;-&quot;??\ _€_-;_-@_-"/>
    <numFmt numFmtId="167" formatCode="_-* #,##0.00_-;\-* #,##0.00_-;_-* &quot;-&quot;_-;_-@_-"/>
  </numFmts>
  <fonts count="42" x14ac:knownFonts="1">
    <font>
      <sz val="11"/>
      <color theme="1"/>
      <name val="Calibri"/>
      <family val="2"/>
      <scheme val="minor"/>
    </font>
    <font>
      <b/>
      <sz val="12"/>
      <color theme="1"/>
      <name val="Arial Narrow"/>
      <family val="2"/>
    </font>
    <font>
      <sz val="11"/>
      <color theme="1"/>
      <name val="Arial Narrow"/>
      <family val="2"/>
    </font>
    <font>
      <b/>
      <sz val="16"/>
      <color theme="1"/>
      <name val="Arial Narrow"/>
      <family val="2"/>
    </font>
    <font>
      <b/>
      <sz val="8"/>
      <color theme="1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2"/>
      <color theme="1"/>
      <name val="Arial Narrow"/>
      <family val="2"/>
    </font>
    <font>
      <b/>
      <sz val="11"/>
      <color theme="1"/>
      <name val="Arial Narrow"/>
      <family val="2"/>
    </font>
    <font>
      <sz val="10"/>
      <color rgb="FFFF0000"/>
      <name val="Arial Narrow"/>
      <family val="2"/>
    </font>
    <font>
      <sz val="10"/>
      <color theme="4"/>
      <name val="Arial Narrow"/>
      <family val="2"/>
    </font>
    <font>
      <b/>
      <sz val="11"/>
      <color indexed="8"/>
      <name val="Arial Narrow"/>
      <family val="2"/>
    </font>
    <font>
      <b/>
      <vertAlign val="superscript"/>
      <sz val="11"/>
      <color indexed="8"/>
      <name val="Arial Narrow"/>
      <family val="2"/>
    </font>
    <font>
      <i/>
      <sz val="11"/>
      <color theme="1"/>
      <name val="Arial Narrow"/>
      <family val="2"/>
    </font>
    <font>
      <i/>
      <vertAlign val="superscript"/>
      <sz val="11"/>
      <color theme="1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Arial Narrow"/>
      <family val="2"/>
    </font>
    <font>
      <b/>
      <vertAlign val="superscript"/>
      <sz val="10"/>
      <color theme="1"/>
      <name val="Arial Narrow"/>
      <family val="2"/>
    </font>
    <font>
      <b/>
      <u/>
      <sz val="11"/>
      <color theme="1"/>
      <name val="Arial Narrow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 Narrow"/>
      <family val="2"/>
    </font>
    <font>
      <b/>
      <sz val="14"/>
      <color theme="1"/>
      <name val="Arial Narrow"/>
      <family val="2"/>
    </font>
    <font>
      <b/>
      <sz val="10"/>
      <color rgb="FFFF0000"/>
      <name val="Arial Narrow"/>
      <family val="2"/>
    </font>
    <font>
      <b/>
      <sz val="12"/>
      <color rgb="FFFF0000"/>
      <name val="Arial Narrow"/>
      <family val="2"/>
    </font>
    <font>
      <b/>
      <sz val="10"/>
      <color theme="4"/>
      <name val="Arial Narrow"/>
      <family val="2"/>
    </font>
    <font>
      <b/>
      <vertAlign val="superscript"/>
      <sz val="12"/>
      <color theme="1"/>
      <name val="Arial Narrow"/>
      <family val="2"/>
    </font>
    <font>
      <b/>
      <sz val="14"/>
      <color indexed="8"/>
      <name val="Arial Narrow"/>
      <family val="2"/>
    </font>
    <font>
      <b/>
      <vertAlign val="superscript"/>
      <sz val="14"/>
      <color indexed="8"/>
      <name val="Arial Narrow"/>
      <family val="2"/>
    </font>
    <font>
      <sz val="14"/>
      <color theme="1"/>
      <name val="Arial Narrow"/>
      <family val="2"/>
    </font>
    <font>
      <b/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vertAlign val="superscript"/>
      <sz val="14"/>
      <color theme="1"/>
      <name val="Arial Narrow"/>
      <family val="2"/>
    </font>
    <font>
      <sz val="14"/>
      <color rgb="FFFF0000"/>
      <name val="Arial Narrow"/>
      <family val="2"/>
    </font>
    <font>
      <sz val="14"/>
      <color theme="4"/>
      <name val="Arial Narrow"/>
      <family val="2"/>
    </font>
    <font>
      <b/>
      <u/>
      <sz val="14"/>
      <color theme="1"/>
      <name val="Arial Narrow"/>
      <family val="2"/>
    </font>
    <font>
      <b/>
      <sz val="14"/>
      <name val="Calibri"/>
      <family val="2"/>
      <scheme val="minor"/>
    </font>
    <font>
      <b/>
      <sz val="14"/>
      <color rgb="FFFF000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165" fontId="23" fillId="0" borderId="0" applyFont="0" applyFill="0" applyBorder="0" applyAlignment="0" applyProtection="0"/>
    <xf numFmtId="164" fontId="23" fillId="0" borderId="0" applyFont="0" applyFill="0" applyBorder="0" applyAlignment="0" applyProtection="0"/>
  </cellStyleXfs>
  <cellXfs count="39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vertical="center" wrapText="1"/>
    </xf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vertical="center" wrapText="1"/>
    </xf>
    <xf numFmtId="0" fontId="5" fillId="0" borderId="0" xfId="0" applyFont="1"/>
    <xf numFmtId="0" fontId="8" fillId="0" borderId="1" xfId="0" applyFont="1" applyBorder="1" applyAlignment="1">
      <alignment vertical="center" wrapText="1"/>
    </xf>
    <xf numFmtId="0" fontId="8" fillId="0" borderId="1" xfId="0" applyFont="1" applyBorder="1"/>
    <xf numFmtId="0" fontId="9" fillId="0" borderId="0" xfId="0" applyFont="1"/>
    <xf numFmtId="0" fontId="2" fillId="0" borderId="1" xfId="0" applyFont="1" applyBorder="1"/>
    <xf numFmtId="0" fontId="10" fillId="0" borderId="0" xfId="0" applyFont="1"/>
    <xf numFmtId="0" fontId="5" fillId="0" borderId="4" xfId="0" applyFont="1" applyBorder="1" applyAlignment="1">
      <alignment horizontal="center" vertical="center"/>
    </xf>
    <xf numFmtId="0" fontId="8" fillId="0" borderId="0" xfId="0" applyFont="1"/>
    <xf numFmtId="0" fontId="5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vertical="center" wrapText="1"/>
    </xf>
    <xf numFmtId="0" fontId="8" fillId="0" borderId="0" xfId="0" applyFont="1" applyBorder="1"/>
    <xf numFmtId="0" fontId="6" fillId="0" borderId="0" xfId="0" applyFont="1" applyBorder="1"/>
    <xf numFmtId="0" fontId="8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5" fillId="0" borderId="1" xfId="0" applyFont="1" applyBorder="1"/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0" xfId="0" applyFont="1" applyAlignment="1"/>
    <xf numFmtId="2" fontId="5" fillId="0" borderId="1" xfId="0" applyNumberFormat="1" applyFont="1" applyBorder="1" applyAlignment="1">
      <alignment horizontal="center" vertical="center"/>
    </xf>
    <xf numFmtId="0" fontId="2" fillId="0" borderId="0" xfId="0" applyFont="1" applyAlignment="1"/>
    <xf numFmtId="0" fontId="8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8" fillId="0" borderId="0" xfId="0" applyFont="1" applyAlignment="1"/>
    <xf numFmtId="2" fontId="8" fillId="0" borderId="1" xfId="0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/>
    <xf numFmtId="2" fontId="2" fillId="0" borderId="1" xfId="0" applyNumberFormat="1" applyFont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8" fillId="0" borderId="2" xfId="0" applyFont="1" applyBorder="1"/>
    <xf numFmtId="0" fontId="2" fillId="0" borderId="1" xfId="0" applyFont="1" applyBorder="1" applyAlignment="1">
      <alignment horizontal="center"/>
    </xf>
    <xf numFmtId="10" fontId="2" fillId="0" borderId="1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 wrapText="1"/>
    </xf>
    <xf numFmtId="2" fontId="8" fillId="0" borderId="0" xfId="0" applyNumberFormat="1" applyFont="1" applyBorder="1" applyAlignment="1">
      <alignment horizontal="center" wrapText="1"/>
    </xf>
    <xf numFmtId="0" fontId="16" fillId="0" borderId="0" xfId="0" applyFont="1"/>
    <xf numFmtId="0" fontId="8" fillId="0" borderId="0" xfId="0" applyFont="1" applyBorder="1" applyAlignment="1">
      <alignment vertical="top" wrapText="1"/>
    </xf>
    <xf numFmtId="2" fontId="8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 wrapText="1"/>
    </xf>
    <xf numFmtId="0" fontId="15" fillId="0" borderId="0" xfId="0" applyFont="1"/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2" fontId="5" fillId="0" borderId="1" xfId="0" applyNumberFormat="1" applyFont="1" applyBorder="1" applyAlignment="1">
      <alignment horizontal="center"/>
    </xf>
    <xf numFmtId="2" fontId="2" fillId="0" borderId="0" xfId="0" applyNumberFormat="1" applyFont="1" applyBorder="1" applyAlignment="1">
      <alignment horizontal="center"/>
    </xf>
    <xf numFmtId="2" fontId="8" fillId="0" borderId="0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2" fontId="8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4" fontId="8" fillId="0" borderId="0" xfId="0" applyNumberFormat="1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5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 vertical="center" indent="1"/>
    </xf>
    <xf numFmtId="0" fontId="8" fillId="0" borderId="0" xfId="0" applyFont="1" applyAlignment="1">
      <alignment horizontal="left" indent="1"/>
    </xf>
    <xf numFmtId="0" fontId="2" fillId="0" borderId="0" xfId="0" applyFont="1" applyAlignment="1">
      <alignment horizontal="left" indent="1"/>
    </xf>
    <xf numFmtId="0" fontId="8" fillId="0" borderId="0" xfId="0" applyFont="1" applyAlignment="1">
      <alignment horizontal="left" indent="1"/>
    </xf>
    <xf numFmtId="0" fontId="5" fillId="0" borderId="3" xfId="0" applyFont="1" applyBorder="1" applyAlignment="1">
      <alignment horizontal="left" vertical="center" indent="1"/>
    </xf>
    <xf numFmtId="0" fontId="5" fillId="0" borderId="0" xfId="0" applyFont="1" applyAlignment="1">
      <alignment horizontal="left" indent="1"/>
    </xf>
    <xf numFmtId="0" fontId="5" fillId="0" borderId="4" xfId="0" applyFont="1" applyBorder="1" applyAlignment="1">
      <alignment horizontal="left" vertical="center" indent="1"/>
    </xf>
    <xf numFmtId="0" fontId="5" fillId="0" borderId="4" xfId="0" applyFont="1" applyBorder="1" applyAlignment="1">
      <alignment horizontal="left" vertical="center" wrapText="1" indent="1"/>
    </xf>
    <xf numFmtId="0" fontId="8" fillId="0" borderId="1" xfId="0" applyFont="1" applyBorder="1" applyAlignment="1">
      <alignment horizontal="left" vertical="center" wrapText="1" indent="1"/>
    </xf>
    <xf numFmtId="2" fontId="8" fillId="0" borderId="1" xfId="0" applyNumberFormat="1" applyFont="1" applyBorder="1" applyAlignment="1">
      <alignment horizontal="left" wrapText="1" indent="1"/>
    </xf>
    <xf numFmtId="0" fontId="6" fillId="0" borderId="0" xfId="0" applyFont="1" applyAlignment="1">
      <alignment horizontal="left" indent="1"/>
    </xf>
    <xf numFmtId="0" fontId="2" fillId="0" borderId="0" xfId="0" applyFont="1" applyAlignment="1">
      <alignment horizontal="left" vertical="center" wrapText="1" indent="1"/>
    </xf>
    <xf numFmtId="0" fontId="0" fillId="0" borderId="0" xfId="0" applyAlignment="1">
      <alignment horizontal="left" indent="1"/>
    </xf>
    <xf numFmtId="0" fontId="8" fillId="0" borderId="1" xfId="0" applyFont="1" applyBorder="1" applyAlignment="1">
      <alignment horizontal="left" indent="1"/>
    </xf>
    <xf numFmtId="0" fontId="8" fillId="0" borderId="2" xfId="0" applyFont="1" applyBorder="1" applyAlignment="1">
      <alignment horizontal="left" indent="1"/>
    </xf>
    <xf numFmtId="0" fontId="2" fillId="0" borderId="1" xfId="0" applyFont="1" applyBorder="1" applyAlignment="1">
      <alignment horizontal="left" indent="1"/>
    </xf>
    <xf numFmtId="10" fontId="2" fillId="0" borderId="1" xfId="0" applyNumberFormat="1" applyFont="1" applyBorder="1" applyAlignment="1">
      <alignment horizontal="left" indent="1"/>
    </xf>
    <xf numFmtId="0" fontId="2" fillId="0" borderId="0" xfId="0" applyFont="1" applyAlignment="1">
      <alignment horizontal="left" indent="1"/>
    </xf>
    <xf numFmtId="0" fontId="1" fillId="0" borderId="0" xfId="0" applyFont="1" applyAlignment="1">
      <alignment horizontal="left" vertical="center"/>
    </xf>
    <xf numFmtId="0" fontId="7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4" xfId="0" applyFont="1" applyBorder="1" applyAlignment="1">
      <alignment horizontal="left" vertical="center"/>
    </xf>
    <xf numFmtId="0" fontId="2" fillId="0" borderId="1" xfId="0" applyFont="1" applyBorder="1" applyAlignment="1">
      <alignment horizontal="left" wrapText="1"/>
    </xf>
    <xf numFmtId="0" fontId="6" fillId="0" borderId="0" xfId="0" applyFont="1" applyAlignment="1">
      <alignment horizontal="left"/>
    </xf>
    <xf numFmtId="0" fontId="5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wrapText="1"/>
    </xf>
    <xf numFmtId="2" fontId="8" fillId="0" borderId="0" xfId="0" applyNumberFormat="1" applyFont="1" applyBorder="1" applyAlignment="1">
      <alignment horizontal="left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8" fillId="0" borderId="1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10" fontId="2" fillId="0" borderId="1" xfId="0" applyNumberFormat="1" applyFont="1" applyBorder="1" applyAlignment="1">
      <alignment horizontal="left"/>
    </xf>
    <xf numFmtId="0" fontId="2" fillId="0" borderId="0" xfId="0" applyFont="1" applyAlignment="1">
      <alignment horizontal="left"/>
    </xf>
    <xf numFmtId="0" fontId="8" fillId="0" borderId="1" xfId="0" applyFont="1" applyBorder="1" applyAlignment="1">
      <alignment horizontal="left" vertical="top" wrapText="1" indent="1"/>
    </xf>
    <xf numFmtId="2" fontId="2" fillId="0" borderId="1" xfId="0" applyNumberFormat="1" applyFont="1" applyBorder="1" applyAlignment="1">
      <alignment horizontal="left" vertical="center" wrapText="1" indent="1"/>
    </xf>
    <xf numFmtId="2" fontId="8" fillId="0" borderId="1" xfId="0" applyNumberFormat="1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  <xf numFmtId="0" fontId="8" fillId="0" borderId="1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/>
    </xf>
    <xf numFmtId="2" fontId="5" fillId="0" borderId="1" xfId="0" applyNumberFormat="1" applyFont="1" applyBorder="1" applyAlignment="1">
      <alignment horizontal="left" vertical="center"/>
    </xf>
    <xf numFmtId="0" fontId="3" fillId="0" borderId="0" xfId="0" applyFont="1" applyAlignment="1">
      <alignment horizontal="left" indent="1"/>
    </xf>
    <xf numFmtId="0" fontId="1" fillId="0" borderId="0" xfId="0" applyFont="1" applyAlignment="1">
      <alignment horizontal="left" indent="1"/>
    </xf>
    <xf numFmtId="0" fontId="8" fillId="0" borderId="0" xfId="0" applyFont="1" applyBorder="1" applyAlignment="1">
      <alignment horizontal="left" vertical="center" wrapText="1" indent="1"/>
    </xf>
    <xf numFmtId="0" fontId="5" fillId="0" borderId="1" xfId="0" applyFont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 wrapText="1" indent="1"/>
    </xf>
    <xf numFmtId="2" fontId="2" fillId="0" borderId="1" xfId="0" applyNumberFormat="1" applyFont="1" applyBorder="1" applyAlignment="1">
      <alignment horizontal="left" indent="1"/>
    </xf>
    <xf numFmtId="2" fontId="8" fillId="0" borderId="1" xfId="0" applyNumberFormat="1" applyFont="1" applyBorder="1" applyAlignment="1">
      <alignment horizontal="left" indent="1"/>
    </xf>
    <xf numFmtId="2" fontId="2" fillId="0" borderId="1" xfId="0" applyNumberFormat="1" applyFont="1" applyBorder="1" applyAlignment="1">
      <alignment horizontal="left" wrapText="1" indent="1"/>
    </xf>
    <xf numFmtId="0" fontId="9" fillId="0" borderId="0" xfId="0" applyFont="1" applyAlignment="1">
      <alignment horizontal="left" indent="1"/>
    </xf>
    <xf numFmtId="0" fontId="2" fillId="0" borderId="0" xfId="0" applyFont="1" applyAlignment="1">
      <alignment horizontal="left" indent="1"/>
    </xf>
    <xf numFmtId="0" fontId="5" fillId="0" borderId="4" xfId="0" applyFont="1" applyBorder="1" applyAlignment="1">
      <alignment horizontal="left" vertical="center"/>
    </xf>
    <xf numFmtId="0" fontId="2" fillId="0" borderId="0" xfId="0" applyFont="1" applyAlignment="1">
      <alignment horizontal="left"/>
    </xf>
    <xf numFmtId="2" fontId="2" fillId="0" borderId="1" xfId="0" applyNumberFormat="1" applyFont="1" applyBorder="1" applyAlignment="1">
      <alignment horizontal="left"/>
    </xf>
    <xf numFmtId="2" fontId="2" fillId="0" borderId="1" xfId="0" applyNumberFormat="1" applyFont="1" applyBorder="1" applyAlignment="1">
      <alignment horizontal="left" wrapText="1"/>
    </xf>
    <xf numFmtId="0" fontId="9" fillId="0" borderId="0" xfId="0" applyFont="1" applyAlignment="1">
      <alignment horizontal="left"/>
    </xf>
    <xf numFmtId="0" fontId="5" fillId="0" borderId="6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wrapText="1" indent="1"/>
    </xf>
    <xf numFmtId="4" fontId="8" fillId="0" borderId="1" xfId="0" applyNumberFormat="1" applyFont="1" applyBorder="1" applyAlignment="1">
      <alignment horizontal="left" indent="1"/>
    </xf>
    <xf numFmtId="4" fontId="2" fillId="0" borderId="1" xfId="0" applyNumberFormat="1" applyFont="1" applyBorder="1" applyAlignment="1">
      <alignment horizontal="left" wrapText="1" indent="1"/>
    </xf>
    <xf numFmtId="4" fontId="2" fillId="0" borderId="1" xfId="0" applyNumberFormat="1" applyFont="1" applyBorder="1" applyAlignment="1">
      <alignment horizontal="left" indent="1"/>
    </xf>
    <xf numFmtId="0" fontId="15" fillId="0" borderId="0" xfId="0" applyFont="1" applyAlignment="1">
      <alignment horizontal="left" indent="1"/>
    </xf>
    <xf numFmtId="0" fontId="8" fillId="0" borderId="0" xfId="0" applyFont="1" applyBorder="1" applyAlignment="1">
      <alignment horizontal="left" indent="1"/>
    </xf>
    <xf numFmtId="0" fontId="8" fillId="0" borderId="0" xfId="0" applyFont="1" applyBorder="1" applyAlignment="1">
      <alignment horizontal="left" vertical="top" wrapText="1" indent="1"/>
    </xf>
    <xf numFmtId="0" fontId="6" fillId="0" borderId="0" xfId="0" applyFont="1" applyBorder="1" applyAlignment="1">
      <alignment horizontal="left" indent="1"/>
    </xf>
    <xf numFmtId="0" fontId="16" fillId="0" borderId="0" xfId="0" applyFont="1" applyAlignment="1">
      <alignment horizontal="left" indent="1"/>
    </xf>
    <xf numFmtId="4" fontId="8" fillId="0" borderId="1" xfId="0" applyNumberFormat="1" applyFont="1" applyBorder="1" applyAlignment="1">
      <alignment horizontal="left"/>
    </xf>
    <xf numFmtId="4" fontId="2" fillId="0" borderId="1" xfId="0" applyNumberFormat="1" applyFont="1" applyBorder="1" applyAlignment="1">
      <alignment horizontal="left" wrapText="1"/>
    </xf>
    <xf numFmtId="4" fontId="2" fillId="0" borderId="1" xfId="0" applyNumberFormat="1" applyFont="1" applyBorder="1" applyAlignment="1">
      <alignment horizontal="left"/>
    </xf>
    <xf numFmtId="0" fontId="15" fillId="0" borderId="0" xfId="0" applyFont="1" applyAlignment="1">
      <alignment horizontal="left"/>
    </xf>
    <xf numFmtId="0" fontId="8" fillId="0" borderId="0" xfId="0" applyFont="1" applyBorder="1" applyAlignment="1">
      <alignment horizontal="left"/>
    </xf>
    <xf numFmtId="0" fontId="8" fillId="0" borderId="0" xfId="0" applyFont="1" applyBorder="1" applyAlignment="1">
      <alignment horizontal="left" vertical="top" wrapText="1"/>
    </xf>
    <xf numFmtId="0" fontId="6" fillId="0" borderId="0" xfId="0" applyFont="1" applyBorder="1" applyAlignment="1">
      <alignment horizontal="left"/>
    </xf>
    <xf numFmtId="0" fontId="16" fillId="0" borderId="0" xfId="0" applyFont="1" applyAlignment="1">
      <alignment horizontal="left"/>
    </xf>
    <xf numFmtId="0" fontId="8" fillId="0" borderId="1" xfId="0" applyFont="1" applyBorder="1" applyAlignment="1">
      <alignment horizontal="left" vertical="center" indent="1"/>
    </xf>
    <xf numFmtId="0" fontId="8" fillId="0" borderId="4" xfId="0" applyFont="1" applyBorder="1" applyAlignment="1">
      <alignment horizontal="left" vertical="center" wrapText="1" indent="1"/>
    </xf>
    <xf numFmtId="0" fontId="8" fillId="0" borderId="4" xfId="0" applyFont="1" applyBorder="1" applyAlignment="1">
      <alignment horizontal="left" vertical="center" indent="1"/>
    </xf>
    <xf numFmtId="2" fontId="2" fillId="0" borderId="1" xfId="0" applyNumberFormat="1" applyFont="1" applyBorder="1" applyAlignment="1">
      <alignment horizontal="left" vertical="center" indent="1"/>
    </xf>
    <xf numFmtId="2" fontId="8" fillId="0" borderId="1" xfId="0" applyNumberFormat="1" applyFont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  <xf numFmtId="2" fontId="2" fillId="0" borderId="0" xfId="0" applyNumberFormat="1" applyFont="1" applyBorder="1" applyAlignment="1">
      <alignment horizontal="left" vertical="center" indent="1"/>
    </xf>
    <xf numFmtId="2" fontId="8" fillId="0" borderId="0" xfId="0" applyNumberFormat="1" applyFont="1" applyBorder="1" applyAlignment="1">
      <alignment horizontal="left" vertical="center" indent="1"/>
    </xf>
    <xf numFmtId="0" fontId="8" fillId="0" borderId="1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2" fontId="2" fillId="0" borderId="0" xfId="0" applyNumberFormat="1" applyFont="1" applyBorder="1" applyAlignment="1">
      <alignment horizontal="left" vertical="center"/>
    </xf>
    <xf numFmtId="2" fontId="8" fillId="0" borderId="0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2" fontId="6" fillId="0" borderId="1" xfId="0" applyNumberFormat="1" applyFont="1" applyBorder="1" applyAlignment="1">
      <alignment horizontal="left" wrapText="1" indent="1"/>
    </xf>
    <xf numFmtId="2" fontId="6" fillId="0" borderId="1" xfId="0" applyNumberFormat="1" applyFont="1" applyBorder="1" applyAlignment="1">
      <alignment horizontal="left" indent="1"/>
    </xf>
    <xf numFmtId="2" fontId="5" fillId="0" borderId="1" xfId="0" applyNumberFormat="1" applyFont="1" applyBorder="1" applyAlignment="1">
      <alignment horizontal="left" indent="1"/>
    </xf>
    <xf numFmtId="2" fontId="5" fillId="0" borderId="1" xfId="0" applyNumberFormat="1" applyFont="1" applyBorder="1" applyAlignment="1">
      <alignment horizontal="left" wrapText="1" indent="1"/>
    </xf>
    <xf numFmtId="0" fontId="6" fillId="0" borderId="1" xfId="0" applyFont="1" applyBorder="1" applyAlignment="1">
      <alignment horizontal="left" indent="1"/>
    </xf>
    <xf numFmtId="4" fontId="6" fillId="0" borderId="1" xfId="0" applyNumberFormat="1" applyFont="1" applyBorder="1" applyAlignment="1">
      <alignment horizontal="left" indent="1"/>
    </xf>
    <xf numFmtId="0" fontId="8" fillId="0" borderId="3" xfId="0" applyFont="1" applyBorder="1" applyAlignment="1">
      <alignment horizontal="center" vertical="center" wrapText="1"/>
    </xf>
    <xf numFmtId="4" fontId="2" fillId="2" borderId="1" xfId="0" applyNumberFormat="1" applyFont="1" applyFill="1" applyBorder="1" applyAlignment="1">
      <alignment horizontal="left" wrapText="1" indent="1"/>
    </xf>
    <xf numFmtId="4" fontId="8" fillId="2" borderId="1" xfId="0" applyNumberFormat="1" applyFont="1" applyFill="1" applyBorder="1" applyAlignment="1">
      <alignment horizontal="left" wrapText="1" indent="1"/>
    </xf>
    <xf numFmtId="0" fontId="2" fillId="0" borderId="1" xfId="0" applyFont="1" applyBorder="1" applyAlignment="1">
      <alignment horizontal="left" vertical="center" indent="1"/>
    </xf>
    <xf numFmtId="4" fontId="8" fillId="0" borderId="1" xfId="0" applyNumberFormat="1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0" fontId="6" fillId="0" borderId="0" xfId="0" applyFont="1" applyAlignment="1">
      <alignment horizontal="left" vertical="center" wrapText="1" indent="1"/>
    </xf>
    <xf numFmtId="4" fontId="8" fillId="0" borderId="1" xfId="0" applyNumberFormat="1" applyFont="1" applyBorder="1" applyAlignment="1">
      <alignment horizontal="left" wrapText="1" indent="1"/>
    </xf>
    <xf numFmtId="0" fontId="2" fillId="0" borderId="0" xfId="0" applyFont="1" applyBorder="1" applyAlignment="1">
      <alignment horizontal="left" indent="1"/>
    </xf>
    <xf numFmtId="4" fontId="8" fillId="0" borderId="0" xfId="0" applyNumberFormat="1" applyFont="1" applyBorder="1" applyAlignment="1">
      <alignment horizontal="left" indent="1"/>
    </xf>
    <xf numFmtId="0" fontId="8" fillId="0" borderId="6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2" fontId="20" fillId="0" borderId="1" xfId="0" applyNumberFormat="1" applyFont="1" applyBorder="1" applyAlignment="1">
      <alignment horizontal="center" vertical="center" wrapText="1"/>
    </xf>
    <xf numFmtId="2" fontId="2" fillId="0" borderId="0" xfId="0" applyNumberFormat="1" applyFont="1" applyBorder="1" applyAlignment="1">
      <alignment horizontal="center" wrapText="1"/>
    </xf>
    <xf numFmtId="2" fontId="0" fillId="0" borderId="1" xfId="0" applyNumberFormat="1" applyBorder="1" applyAlignment="1">
      <alignment horizontal="center"/>
    </xf>
    <xf numFmtId="2" fontId="6" fillId="0" borderId="0" xfId="0" applyNumberFormat="1" applyFont="1"/>
    <xf numFmtId="2" fontId="6" fillId="0" borderId="0" xfId="0" applyNumberFormat="1" applyFont="1" applyAlignment="1">
      <alignment horizontal="left"/>
    </xf>
    <xf numFmtId="2" fontId="0" fillId="0" borderId="0" xfId="0" applyNumberFormat="1"/>
    <xf numFmtId="2" fontId="2" fillId="0" borderId="0" xfId="0" applyNumberFormat="1" applyFont="1" applyAlignment="1">
      <alignment horizontal="left"/>
    </xf>
    <xf numFmtId="2" fontId="6" fillId="0" borderId="0" xfId="0" applyNumberFormat="1" applyFont="1" applyAlignment="1">
      <alignment horizontal="left" indent="1"/>
    </xf>
    <xf numFmtId="0" fontId="5" fillId="2" borderId="1" xfId="0" applyFont="1" applyFill="1" applyBorder="1" applyAlignment="1">
      <alignment horizontal="left" vertical="center" wrapText="1"/>
    </xf>
    <xf numFmtId="2" fontId="21" fillId="0" borderId="1" xfId="0" applyNumberFormat="1" applyFont="1" applyBorder="1" applyAlignment="1">
      <alignment horizontal="center" vertical="center" wrapText="1"/>
    </xf>
    <xf numFmtId="0" fontId="8" fillId="3" borderId="1" xfId="0" applyFont="1" applyFill="1" applyBorder="1"/>
    <xf numFmtId="2" fontId="8" fillId="0" borderId="4" xfId="0" applyNumberFormat="1" applyFont="1" applyBorder="1" applyAlignment="1">
      <alignment horizontal="center"/>
    </xf>
    <xf numFmtId="2" fontId="21" fillId="0" borderId="1" xfId="0" applyNumberFormat="1" applyFont="1" applyBorder="1" applyAlignment="1">
      <alignment horizontal="right" vertical="center" wrapText="1"/>
    </xf>
    <xf numFmtId="0" fontId="1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66" fontId="1" fillId="0" borderId="1" xfId="1" applyNumberFormat="1" applyFont="1" applyBorder="1"/>
    <xf numFmtId="166" fontId="5" fillId="0" borderId="1" xfId="1" applyNumberFormat="1" applyFont="1" applyBorder="1"/>
    <xf numFmtId="0" fontId="1" fillId="0" borderId="1" xfId="0" applyFont="1" applyBorder="1"/>
    <xf numFmtId="0" fontId="1" fillId="2" borderId="1" xfId="0" applyFont="1" applyFill="1" applyBorder="1" applyAlignment="1">
      <alignment horizontal="left" vertical="center" wrapText="1"/>
    </xf>
    <xf numFmtId="165" fontId="1" fillId="0" borderId="1" xfId="1" applyFont="1" applyBorder="1"/>
    <xf numFmtId="165" fontId="8" fillId="0" borderId="1" xfId="1" applyFont="1" applyBorder="1"/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horizontal="center" vertical="center"/>
    </xf>
    <xf numFmtId="2" fontId="22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top" wrapText="1"/>
    </xf>
    <xf numFmtId="2" fontId="1" fillId="0" borderId="1" xfId="0" applyNumberFormat="1" applyFont="1" applyBorder="1" applyAlignment="1">
      <alignment horizontal="center" wrapText="1"/>
    </xf>
    <xf numFmtId="2" fontId="25" fillId="0" borderId="1" xfId="0" applyNumberFormat="1" applyFont="1" applyBorder="1" applyAlignment="1">
      <alignment horizontal="center" vertical="center"/>
    </xf>
    <xf numFmtId="2" fontId="26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/>
    </xf>
    <xf numFmtId="2" fontId="1" fillId="0" borderId="0" xfId="0" applyNumberFormat="1" applyFont="1" applyBorder="1" applyAlignment="1">
      <alignment horizontal="center"/>
    </xf>
    <xf numFmtId="0" fontId="8" fillId="0" borderId="4" xfId="0" applyFont="1" applyBorder="1" applyAlignment="1">
      <alignment vertical="center" wrapText="1"/>
    </xf>
    <xf numFmtId="0" fontId="5" fillId="0" borderId="1" xfId="0" applyFont="1" applyBorder="1" applyAlignment="1">
      <alignment horizontal="center"/>
    </xf>
    <xf numFmtId="2" fontId="2" fillId="0" borderId="4" xfId="0" applyNumberFormat="1" applyFont="1" applyBorder="1" applyAlignment="1">
      <alignment horizontal="center"/>
    </xf>
    <xf numFmtId="166" fontId="1" fillId="0" borderId="1" xfId="1" applyNumberFormat="1" applyFont="1" applyBorder="1" applyAlignment="1"/>
    <xf numFmtId="166" fontId="5" fillId="0" borderId="1" xfId="1" applyNumberFormat="1" applyFont="1" applyBorder="1" applyAlignment="1"/>
    <xf numFmtId="166" fontId="8" fillId="0" borderId="1" xfId="1" applyNumberFormat="1" applyFont="1" applyBorder="1" applyAlignment="1"/>
    <xf numFmtId="166" fontId="24" fillId="0" borderId="1" xfId="1" applyNumberFormat="1" applyFont="1" applyBorder="1" applyAlignment="1"/>
    <xf numFmtId="167" fontId="8" fillId="0" borderId="1" xfId="2" applyNumberFormat="1" applyFont="1" applyBorder="1" applyAlignment="1">
      <alignment vertical="top"/>
    </xf>
    <xf numFmtId="167" fontId="5" fillId="0" borderId="1" xfId="2" applyNumberFormat="1" applyFont="1" applyBorder="1" applyAlignment="1">
      <alignment vertical="top"/>
    </xf>
    <xf numFmtId="167" fontId="8" fillId="0" borderId="1" xfId="2" applyNumberFormat="1" applyFont="1" applyBorder="1" applyAlignment="1">
      <alignment vertical="top" wrapText="1"/>
    </xf>
    <xf numFmtId="167" fontId="6" fillId="0" borderId="0" xfId="2" applyNumberFormat="1" applyFont="1" applyAlignment="1">
      <alignment vertical="top"/>
    </xf>
    <xf numFmtId="167" fontId="26" fillId="0" borderId="1" xfId="2" applyNumberFormat="1" applyFont="1" applyBorder="1" applyAlignment="1">
      <alignment vertical="top"/>
    </xf>
    <xf numFmtId="167" fontId="6" fillId="0" borderId="1" xfId="2" applyNumberFormat="1" applyFont="1" applyBorder="1" applyAlignment="1">
      <alignment vertical="top"/>
    </xf>
    <xf numFmtId="167" fontId="5" fillId="0" borderId="0" xfId="2" applyNumberFormat="1" applyFont="1" applyBorder="1" applyAlignment="1">
      <alignment vertical="top"/>
    </xf>
    <xf numFmtId="167" fontId="8" fillId="0" borderId="0" xfId="2" applyNumberFormat="1" applyFont="1" applyBorder="1" applyAlignment="1">
      <alignment vertical="top"/>
    </xf>
    <xf numFmtId="166" fontId="1" fillId="0" borderId="1" xfId="0" applyNumberFormat="1" applyFont="1" applyBorder="1" applyAlignment="1">
      <alignment horizontal="center" vertical="center" wrapText="1"/>
    </xf>
    <xf numFmtId="166" fontId="1" fillId="0" borderId="1" xfId="0" applyNumberFormat="1" applyFont="1" applyBorder="1" applyAlignment="1">
      <alignment horizontal="center" vertical="center"/>
    </xf>
    <xf numFmtId="166" fontId="22" fillId="0" borderId="1" xfId="0" applyNumberFormat="1" applyFont="1" applyBorder="1" applyAlignment="1">
      <alignment horizontal="center" vertical="center"/>
    </xf>
    <xf numFmtId="166" fontId="22" fillId="0" borderId="1" xfId="0" applyNumberFormat="1" applyFont="1" applyBorder="1" applyAlignment="1">
      <alignment vertical="center"/>
    </xf>
    <xf numFmtId="166" fontId="1" fillId="0" borderId="1" xfId="0" applyNumberFormat="1" applyFont="1" applyBorder="1" applyAlignment="1">
      <alignment vertical="center"/>
    </xf>
    <xf numFmtId="166" fontId="1" fillId="0" borderId="1" xfId="0" applyNumberFormat="1" applyFont="1" applyBorder="1" applyAlignment="1">
      <alignment vertical="center" wrapText="1"/>
    </xf>
    <xf numFmtId="0" fontId="1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5" fillId="0" borderId="1" xfId="0" applyFont="1" applyBorder="1" applyAlignment="1">
      <alignment vertical="center" wrapText="1"/>
    </xf>
    <xf numFmtId="2" fontId="22" fillId="0" borderId="1" xfId="0" applyNumberFormat="1" applyFont="1" applyBorder="1" applyAlignment="1">
      <alignment horizontal="center"/>
    </xf>
    <xf numFmtId="2" fontId="27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2" fontId="28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 wrapText="1"/>
    </xf>
    <xf numFmtId="0" fontId="25" fillId="0" borderId="0" xfId="0" applyFont="1"/>
    <xf numFmtId="2" fontId="25" fillId="0" borderId="1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6" fillId="0" borderId="1" xfId="0" applyFont="1" applyBorder="1"/>
    <xf numFmtId="2" fontId="6" fillId="0" borderId="1" xfId="0" applyNumberFormat="1" applyFont="1" applyBorder="1" applyAlignment="1">
      <alignment horizontal="center"/>
    </xf>
    <xf numFmtId="0" fontId="1" fillId="0" borderId="0" xfId="0" applyFont="1"/>
    <xf numFmtId="0" fontId="8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8" fillId="0" borderId="0" xfId="0" applyFont="1" applyAlignment="1">
      <alignment horizontal="left" indent="1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32" fillId="0" borderId="0" xfId="0" applyFont="1" applyAlignment="1">
      <alignment vertical="center" wrapText="1"/>
    </xf>
    <xf numFmtId="0" fontId="25" fillId="0" borderId="0" xfId="0" applyFont="1" applyAlignment="1">
      <alignment horizontal="left"/>
    </xf>
    <xf numFmtId="0" fontId="19" fillId="0" borderId="7" xfId="0" applyFont="1" applyBorder="1" applyAlignment="1">
      <alignment horizontal="left"/>
    </xf>
    <xf numFmtId="0" fontId="33" fillId="0" borderId="0" xfId="0" applyFont="1"/>
    <xf numFmtId="0" fontId="8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10" fontId="1" fillId="0" borderId="1" xfId="0" applyNumberFormat="1" applyFont="1" applyBorder="1" applyAlignment="1">
      <alignment horizontal="center"/>
    </xf>
    <xf numFmtId="0" fontId="8" fillId="0" borderId="0" xfId="0" applyFont="1" applyAlignment="1">
      <alignment horizontal="left"/>
    </xf>
    <xf numFmtId="0" fontId="25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5" fillId="0" borderId="0" xfId="0" applyFont="1" applyAlignment="1">
      <alignment horizontal="left"/>
    </xf>
    <xf numFmtId="2" fontId="34" fillId="0" borderId="1" xfId="0" applyNumberFormat="1" applyFont="1" applyBorder="1" applyAlignment="1">
      <alignment horizontal="center" vertical="center" wrapText="1"/>
    </xf>
    <xf numFmtId="2" fontId="22" fillId="2" borderId="1" xfId="0" applyNumberFormat="1" applyFont="1" applyFill="1" applyBorder="1" applyAlignment="1">
      <alignment horizontal="center" vertical="center" wrapText="1"/>
    </xf>
    <xf numFmtId="0" fontId="32" fillId="0" borderId="0" xfId="0" applyFont="1" applyAlignment="1">
      <alignment horizontal="left"/>
    </xf>
    <xf numFmtId="0" fontId="25" fillId="0" borderId="0" xfId="0" applyFont="1" applyAlignment="1">
      <alignment horizontal="left"/>
    </xf>
    <xf numFmtId="0" fontId="25" fillId="0" borderId="1" xfId="0" applyFont="1" applyBorder="1" applyAlignment="1">
      <alignment horizontal="center"/>
    </xf>
    <xf numFmtId="10" fontId="25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8" fillId="0" borderId="0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5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8" fillId="0" borderId="0" xfId="0" applyFont="1" applyAlignment="1">
      <alignment horizont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9" fillId="0" borderId="0" xfId="0" applyFont="1" applyAlignment="1">
      <alignment horizontal="left" indent="1"/>
    </xf>
    <xf numFmtId="0" fontId="2" fillId="0" borderId="0" xfId="0" applyFont="1" applyAlignment="1">
      <alignment horizontal="left" indent="1"/>
    </xf>
    <xf numFmtId="0" fontId="8" fillId="0" borderId="0" xfId="0" applyFont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8" fillId="0" borderId="5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indent="1"/>
    </xf>
    <xf numFmtId="0" fontId="8" fillId="0" borderId="0" xfId="0" applyFont="1" applyAlignment="1">
      <alignment horizontal="left" indent="1"/>
    </xf>
    <xf numFmtId="0" fontId="8" fillId="0" borderId="0" xfId="0" applyFont="1" applyAlignment="1">
      <alignment horizontal="left" wrapText="1" indent="1"/>
    </xf>
    <xf numFmtId="0" fontId="8" fillId="0" borderId="0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Border="1" applyAlignment="1">
      <alignment horizontal="left"/>
    </xf>
    <xf numFmtId="0" fontId="3" fillId="0" borderId="0" xfId="0" applyFont="1" applyAlignment="1">
      <alignment horizontal="left" indent="1"/>
    </xf>
    <xf numFmtId="0" fontId="1" fillId="0" borderId="0" xfId="0" applyFont="1" applyBorder="1" applyAlignment="1">
      <alignment horizontal="left" indent="1"/>
    </xf>
    <xf numFmtId="2" fontId="33" fillId="0" borderId="1" xfId="0" applyNumberFormat="1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/>
    </xf>
    <xf numFmtId="4" fontId="25" fillId="0" borderId="1" xfId="0" applyNumberFormat="1" applyFont="1" applyBorder="1" applyAlignment="1">
      <alignment horizontal="center"/>
    </xf>
    <xf numFmtId="0" fontId="25" fillId="0" borderId="1" xfId="0" applyFont="1" applyBorder="1" applyAlignment="1">
      <alignment horizontal="left" indent="1"/>
    </xf>
    <xf numFmtId="0" fontId="32" fillId="0" borderId="1" xfId="0" applyFont="1" applyBorder="1" applyAlignment="1">
      <alignment horizontal="left" indent="1"/>
    </xf>
    <xf numFmtId="0" fontId="35" fillId="0" borderId="1" xfId="0" applyFont="1" applyBorder="1" applyAlignment="1">
      <alignment horizontal="center"/>
    </xf>
    <xf numFmtId="0" fontId="32" fillId="0" borderId="1" xfId="0" applyFont="1" applyBorder="1" applyAlignment="1">
      <alignment horizontal="center"/>
    </xf>
    <xf numFmtId="0" fontId="25" fillId="0" borderId="1" xfId="0" applyFont="1" applyBorder="1" applyAlignment="1">
      <alignment vertical="center" wrapText="1"/>
    </xf>
    <xf numFmtId="0" fontId="25" fillId="0" borderId="1" xfId="0" applyFont="1" applyBorder="1" applyAlignment="1">
      <alignment vertical="center"/>
    </xf>
    <xf numFmtId="0" fontId="25" fillId="0" borderId="0" xfId="0" applyFont="1" applyAlignment="1">
      <alignment horizontal="left" wrapText="1"/>
    </xf>
    <xf numFmtId="0" fontId="32" fillId="0" borderId="0" xfId="0" applyFont="1"/>
    <xf numFmtId="0" fontId="25" fillId="0" borderId="0" xfId="0" applyFont="1" applyBorder="1" applyAlignment="1">
      <alignment horizontal="center" vertical="center" wrapText="1"/>
    </xf>
    <xf numFmtId="0" fontId="25" fillId="0" borderId="5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0" fontId="25" fillId="0" borderId="1" xfId="0" applyFont="1" applyBorder="1"/>
    <xf numFmtId="2" fontId="33" fillId="0" borderId="1" xfId="0" applyNumberFormat="1" applyFont="1" applyBorder="1" applyAlignment="1">
      <alignment horizontal="center" vertical="center"/>
    </xf>
    <xf numFmtId="0" fontId="37" fillId="0" borderId="0" xfId="0" applyFont="1"/>
    <xf numFmtId="0" fontId="38" fillId="0" borderId="0" xfId="0" applyFont="1"/>
    <xf numFmtId="0" fontId="25" fillId="2" borderId="1" xfId="0" applyFont="1" applyFill="1" applyBorder="1"/>
    <xf numFmtId="2" fontId="25" fillId="2" borderId="1" xfId="0" applyNumberFormat="1" applyFont="1" applyFill="1" applyBorder="1" applyAlignment="1">
      <alignment horizontal="center" vertical="center"/>
    </xf>
    <xf numFmtId="0" fontId="39" fillId="0" borderId="0" xfId="0" applyFont="1" applyAlignment="1">
      <alignment horizontal="center"/>
    </xf>
    <xf numFmtId="0" fontId="25" fillId="0" borderId="2" xfId="0" applyFont="1" applyBorder="1"/>
    <xf numFmtId="0" fontId="35" fillId="0" borderId="0" xfId="0" applyFont="1"/>
    <xf numFmtId="0" fontId="25" fillId="0" borderId="1" xfId="0" applyFont="1" applyBorder="1" applyAlignment="1">
      <alignment horizontal="left" vertical="center"/>
    </xf>
    <xf numFmtId="0" fontId="25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left" vertical="center"/>
    </xf>
    <xf numFmtId="2" fontId="25" fillId="0" borderId="1" xfId="0" applyNumberFormat="1" applyFont="1" applyBorder="1" applyAlignment="1">
      <alignment horizontal="center"/>
    </xf>
    <xf numFmtId="2" fontId="25" fillId="0" borderId="1" xfId="0" applyNumberFormat="1" applyFont="1" applyBorder="1" applyAlignment="1">
      <alignment horizontal="center" wrapText="1"/>
    </xf>
    <xf numFmtId="2" fontId="33" fillId="0" borderId="1" xfId="0" applyNumberFormat="1" applyFont="1" applyBorder="1" applyAlignment="1">
      <alignment horizontal="center"/>
    </xf>
    <xf numFmtId="0" fontId="25" fillId="2" borderId="1" xfId="0" applyFont="1" applyFill="1" applyBorder="1" applyAlignment="1">
      <alignment horizontal="center" vertical="center"/>
    </xf>
    <xf numFmtId="0" fontId="25" fillId="0" borderId="0" xfId="0" applyFont="1" applyBorder="1" applyAlignment="1">
      <alignment horizontal="left" vertical="center"/>
    </xf>
    <xf numFmtId="0" fontId="25" fillId="0" borderId="0" xfId="0" applyFont="1" applyBorder="1" applyAlignment="1">
      <alignment horizontal="left" vertical="center" wrapText="1"/>
    </xf>
    <xf numFmtId="0" fontId="32" fillId="0" borderId="0" xfId="0" applyFont="1" applyBorder="1" applyAlignment="1">
      <alignment horizontal="left" wrapText="1"/>
    </xf>
    <xf numFmtId="2" fontId="25" fillId="0" borderId="0" xfId="0" applyNumberFormat="1" applyFont="1" applyBorder="1" applyAlignment="1">
      <alignment horizontal="left" wrapText="1"/>
    </xf>
    <xf numFmtId="0" fontId="39" fillId="0" borderId="0" xfId="0" applyFont="1" applyAlignment="1">
      <alignment horizontal="left"/>
    </xf>
    <xf numFmtId="0" fontId="25" fillId="0" borderId="2" xfId="0" applyFont="1" applyBorder="1" applyAlignment="1">
      <alignment horizontal="left"/>
    </xf>
    <xf numFmtId="0" fontId="25" fillId="0" borderId="1" xfId="0" applyFont="1" applyBorder="1" applyAlignment="1">
      <alignment horizontal="left"/>
    </xf>
    <xf numFmtId="0" fontId="32" fillId="0" borderId="0" xfId="0" applyFont="1" applyAlignment="1">
      <alignment horizontal="left" indent="1"/>
    </xf>
    <xf numFmtId="0" fontId="25" fillId="0" borderId="5" xfId="0" applyFont="1" applyBorder="1" applyAlignment="1">
      <alignment horizontal="left" vertical="center" wrapText="1" indent="1"/>
    </xf>
    <xf numFmtId="0" fontId="25" fillId="0" borderId="0" xfId="0" applyFont="1" applyAlignment="1">
      <alignment horizontal="left" indent="1"/>
    </xf>
    <xf numFmtId="0" fontId="25" fillId="0" borderId="1" xfId="0" applyFont="1" applyBorder="1" applyAlignment="1">
      <alignment horizontal="left" vertical="top" wrapText="1" indent="1"/>
    </xf>
    <xf numFmtId="2" fontId="25" fillId="2" borderId="1" xfId="0" applyNumberFormat="1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left" vertical="center" wrapText="1" indent="1"/>
    </xf>
    <xf numFmtId="0" fontId="25" fillId="2" borderId="1" xfId="0" applyFont="1" applyFill="1" applyBorder="1" applyAlignment="1">
      <alignment horizontal="left" vertical="top" wrapText="1" indent="1"/>
    </xf>
    <xf numFmtId="0" fontId="32" fillId="0" borderId="0" xfId="0" applyFont="1" applyAlignment="1">
      <alignment horizontal="left" vertical="center" wrapText="1" indent="1"/>
    </xf>
    <xf numFmtId="0" fontId="39" fillId="0" borderId="0" xfId="0" applyFont="1" applyAlignment="1">
      <alignment horizontal="left" indent="1"/>
    </xf>
    <xf numFmtId="0" fontId="25" fillId="0" borderId="2" xfId="0" applyFont="1" applyBorder="1" applyAlignment="1">
      <alignment horizontal="left" indent="1"/>
    </xf>
    <xf numFmtId="0" fontId="35" fillId="0" borderId="0" xfId="0" applyFont="1" applyAlignment="1">
      <alignment horizontal="left" indent="1"/>
    </xf>
    <xf numFmtId="0" fontId="25" fillId="0" borderId="1" xfId="0" applyFont="1" applyBorder="1" applyAlignment="1">
      <alignment horizontal="left" vertical="center" indent="1"/>
    </xf>
    <xf numFmtId="0" fontId="25" fillId="0" borderId="1" xfId="0" applyFont="1" applyBorder="1" applyAlignment="1">
      <alignment horizontal="left" vertical="center" wrapText="1" indent="1"/>
    </xf>
    <xf numFmtId="0" fontId="25" fillId="0" borderId="1" xfId="0" applyFont="1" applyBorder="1" applyAlignment="1">
      <alignment horizontal="left" vertical="center" indent="1"/>
    </xf>
    <xf numFmtId="0" fontId="25" fillId="0" borderId="1" xfId="0" applyFont="1" applyBorder="1" applyAlignment="1">
      <alignment horizontal="left" vertical="top" indent="1"/>
    </xf>
    <xf numFmtId="0" fontId="25" fillId="0" borderId="3" xfId="0" applyFont="1" applyBorder="1" applyAlignment="1">
      <alignment vertical="center"/>
    </xf>
    <xf numFmtId="0" fontId="25" fillId="0" borderId="3" xfId="0" applyFont="1" applyBorder="1" applyAlignment="1">
      <alignment horizontal="left" vertical="center" wrapText="1" indent="1"/>
    </xf>
    <xf numFmtId="0" fontId="25" fillId="0" borderId="3" xfId="0" applyFont="1" applyBorder="1" applyAlignment="1">
      <alignment horizontal="center" vertical="center" wrapText="1"/>
    </xf>
    <xf numFmtId="2" fontId="33" fillId="0" borderId="1" xfId="0" applyNumberFormat="1" applyFont="1" applyBorder="1" applyAlignment="1">
      <alignment horizontal="right" vertical="center" wrapText="1"/>
    </xf>
    <xf numFmtId="2" fontId="40" fillId="0" borderId="1" xfId="0" applyNumberFormat="1" applyFont="1" applyBorder="1" applyAlignment="1">
      <alignment horizontal="center" vertical="center" wrapText="1"/>
    </xf>
    <xf numFmtId="2" fontId="33" fillId="0" borderId="0" xfId="0" applyNumberFormat="1" applyFont="1" applyBorder="1" applyAlignment="1">
      <alignment horizontal="center" vertical="center" wrapText="1"/>
    </xf>
    <xf numFmtId="10" fontId="32" fillId="0" borderId="1" xfId="0" applyNumberFormat="1" applyFont="1" applyBorder="1" applyAlignment="1">
      <alignment horizontal="center"/>
    </xf>
    <xf numFmtId="0" fontId="41" fillId="0" borderId="0" xfId="0" applyFont="1" applyAlignment="1">
      <alignment horizontal="left" indent="1"/>
    </xf>
    <xf numFmtId="0" fontId="25" fillId="0" borderId="0" xfId="0" applyFont="1" applyAlignment="1">
      <alignment horizontal="left" vertical="center" wrapText="1" indent="1"/>
    </xf>
    <xf numFmtId="0" fontId="33" fillId="0" borderId="0" xfId="0" applyFont="1" applyAlignment="1">
      <alignment horizontal="left" indent="1"/>
    </xf>
    <xf numFmtId="0" fontId="25" fillId="0" borderId="1" xfId="0" applyFont="1" applyBorder="1" applyAlignment="1"/>
    <xf numFmtId="0" fontId="25" fillId="0" borderId="4" xfId="0" applyFont="1" applyBorder="1" applyAlignment="1">
      <alignment horizontal="left" vertical="center" wrapText="1" indent="1"/>
    </xf>
    <xf numFmtId="2" fontId="33" fillId="0" borderId="0" xfId="0" applyNumberFormat="1" applyFont="1"/>
    <xf numFmtId="0" fontId="25" fillId="0" borderId="0" xfId="0" applyFont="1" applyAlignment="1">
      <alignment horizontal="center" wrapText="1"/>
    </xf>
    <xf numFmtId="0" fontId="25" fillId="0" borderId="4" xfId="0" applyFont="1" applyBorder="1" applyAlignment="1">
      <alignment horizontal="center" vertical="center" wrapText="1"/>
    </xf>
    <xf numFmtId="0" fontId="25" fillId="0" borderId="0" xfId="0" applyFont="1" applyAlignment="1">
      <alignment horizontal="center"/>
    </xf>
    <xf numFmtId="0" fontId="25" fillId="0" borderId="4" xfId="0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 wrapText="1"/>
    </xf>
    <xf numFmtId="0" fontId="25" fillId="0" borderId="0" xfId="0" applyFont="1" applyBorder="1" applyAlignment="1">
      <alignment horizontal="center"/>
    </xf>
    <xf numFmtId="0" fontId="25" fillId="0" borderId="0" xfId="0" applyFont="1" applyAlignment="1">
      <alignment horizontal="center" vertical="center" wrapText="1"/>
    </xf>
    <xf numFmtId="0" fontId="25" fillId="0" borderId="2" xfId="0" applyFont="1" applyBorder="1" applyAlignment="1">
      <alignment horizontal="center"/>
    </xf>
    <xf numFmtId="0" fontId="33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2" fontId="35" fillId="0" borderId="0" xfId="0" applyNumberFormat="1" applyFont="1" applyAlignment="1">
      <alignment horizontal="center"/>
    </xf>
  </cellXfs>
  <cellStyles count="3">
    <cellStyle name="Milliers" xfId="1" builtinId="3"/>
    <cellStyle name="Milliers [0]" xfId="2" builtinId="6"/>
    <cellStyle name="Normal" xfId="0" builtinId="0"/>
  </cellStyles>
  <dxfs count="0"/>
  <tableStyles count="0" defaultTableStyle="TableStyleMedium9" defaultPivotStyle="PivotStyleLight16"/>
  <colors>
    <mruColors>
      <color rgb="FFFF00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400050</xdr:colOff>
      <xdr:row>0</xdr:row>
      <xdr:rowOff>28575</xdr:rowOff>
    </xdr:from>
    <xdr:to>
      <xdr:col>6</xdr:col>
      <xdr:colOff>371475</xdr:colOff>
      <xdr:row>3</xdr:row>
      <xdr:rowOff>38101</xdr:rowOff>
    </xdr:to>
    <xdr:pic>
      <xdr:nvPicPr>
        <xdr:cNvPr id="3" name="Image 2" descr="C:\Users\waret\Desktop\DOSSIERS\Moh-Ca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>
          <a:lum bright="1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72075" y="28575"/>
          <a:ext cx="733425" cy="58102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76201</xdr:colOff>
      <xdr:row>0</xdr:row>
      <xdr:rowOff>57150</xdr:rowOff>
    </xdr:from>
    <xdr:to>
      <xdr:col>6</xdr:col>
      <xdr:colOff>123825</xdr:colOff>
      <xdr:row>3</xdr:row>
      <xdr:rowOff>28576</xdr:rowOff>
    </xdr:to>
    <xdr:pic>
      <xdr:nvPicPr>
        <xdr:cNvPr id="2" name="Image 1" descr="C:\Users\waret\Desktop\DOSSIERS\Moh-Ca.jp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>
          <a:lum bright="1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1" y="57150"/>
          <a:ext cx="809624" cy="54292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1981200</xdr:colOff>
      <xdr:row>0</xdr:row>
      <xdr:rowOff>123825</xdr:rowOff>
    </xdr:from>
    <xdr:to>
      <xdr:col>2</xdr:col>
      <xdr:colOff>361950</xdr:colOff>
      <xdr:row>3</xdr:row>
      <xdr:rowOff>114300</xdr:rowOff>
    </xdr:to>
    <xdr:pic>
      <xdr:nvPicPr>
        <xdr:cNvPr id="3" name="Image 2" descr="C:\Users\waret\Desktop\DOSSIERS\Moh-Ca.jpg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/>
      </xdr:nvPicPr>
      <xdr:blipFill>
        <a:blip xmlns:r="http://schemas.openxmlformats.org/officeDocument/2006/relationships" r:embed="rId1">
          <a:lum bright="1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9350" y="123825"/>
          <a:ext cx="714375" cy="5619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209550</xdr:colOff>
      <xdr:row>0</xdr:row>
      <xdr:rowOff>0</xdr:rowOff>
    </xdr:from>
    <xdr:to>
      <xdr:col>6</xdr:col>
      <xdr:colOff>152400</xdr:colOff>
      <xdr:row>3</xdr:row>
      <xdr:rowOff>114300</xdr:rowOff>
    </xdr:to>
    <xdr:pic>
      <xdr:nvPicPr>
        <xdr:cNvPr id="2" name="Image 1" descr="C:\Users\waret\Desktop\DOSSIERS\Moh-Ca.jp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>
          <a:lum bright="1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2575" y="0"/>
          <a:ext cx="704850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885825</xdr:colOff>
      <xdr:row>0</xdr:row>
      <xdr:rowOff>47625</xdr:rowOff>
    </xdr:from>
    <xdr:to>
      <xdr:col>5</xdr:col>
      <xdr:colOff>657225</xdr:colOff>
      <xdr:row>3</xdr:row>
      <xdr:rowOff>66675</xdr:rowOff>
    </xdr:to>
    <xdr:pic>
      <xdr:nvPicPr>
        <xdr:cNvPr id="3" name="Image 2" descr="C:\Users\waret\Desktop\DOSSIERS\Moh-Ca.jpg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/>
      </xdr:nvPicPr>
      <xdr:blipFill>
        <a:blip xmlns:r="http://schemas.openxmlformats.org/officeDocument/2006/relationships" r:embed="rId1">
          <a:lum bright="1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9175" y="47625"/>
          <a:ext cx="752475" cy="5905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885825</xdr:colOff>
      <xdr:row>0</xdr:row>
      <xdr:rowOff>47625</xdr:rowOff>
    </xdr:from>
    <xdr:to>
      <xdr:col>5</xdr:col>
      <xdr:colOff>752475</xdr:colOff>
      <xdr:row>3</xdr:row>
      <xdr:rowOff>66675</xdr:rowOff>
    </xdr:to>
    <xdr:pic>
      <xdr:nvPicPr>
        <xdr:cNvPr id="3" name="Image 2" descr="C:\Users\waret\Desktop\DOSSIERS\Moh-Ca.jpg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/>
      </xdr:nvPicPr>
      <xdr:blipFill>
        <a:blip xmlns:r="http://schemas.openxmlformats.org/officeDocument/2006/relationships" r:embed="rId1">
          <a:lum bright="1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9175" y="47625"/>
          <a:ext cx="752475" cy="5905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628650</xdr:colOff>
      <xdr:row>0</xdr:row>
      <xdr:rowOff>0</xdr:rowOff>
    </xdr:from>
    <xdr:to>
      <xdr:col>5</xdr:col>
      <xdr:colOff>476250</xdr:colOff>
      <xdr:row>3</xdr:row>
      <xdr:rowOff>142876</xdr:rowOff>
    </xdr:to>
    <xdr:pic>
      <xdr:nvPicPr>
        <xdr:cNvPr id="3" name="Image 2" descr="C:\Users\waret\Desktop\DOSSIERS\Moh-Ca.jpg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/>
      </xdr:nvPicPr>
      <xdr:blipFill>
        <a:blip xmlns:r="http://schemas.openxmlformats.org/officeDocument/2006/relationships" r:embed="rId1">
          <a:lum bright="1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4425" y="0"/>
          <a:ext cx="809625" cy="71437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815069</xdr:colOff>
      <xdr:row>1</xdr:row>
      <xdr:rowOff>127907</xdr:rowOff>
    </xdr:from>
    <xdr:to>
      <xdr:col>5</xdr:col>
      <xdr:colOff>478292</xdr:colOff>
      <xdr:row>5</xdr:row>
      <xdr:rowOff>61233</xdr:rowOff>
    </xdr:to>
    <xdr:pic>
      <xdr:nvPicPr>
        <xdr:cNvPr id="3" name="Image 2" descr="C:\Users\waret\Desktop\DOSSIERS\Moh-Ca.jpg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/>
      </xdr:nvPicPr>
      <xdr:blipFill>
        <a:blip xmlns:r="http://schemas.openxmlformats.org/officeDocument/2006/relationships" r:embed="rId1">
          <a:lum bright="1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39419" y="337457"/>
          <a:ext cx="730023" cy="69532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676276</xdr:colOff>
      <xdr:row>0</xdr:row>
      <xdr:rowOff>95249</xdr:rowOff>
    </xdr:from>
    <xdr:to>
      <xdr:col>5</xdr:col>
      <xdr:colOff>485776</xdr:colOff>
      <xdr:row>3</xdr:row>
      <xdr:rowOff>152400</xdr:rowOff>
    </xdr:to>
    <xdr:pic>
      <xdr:nvPicPr>
        <xdr:cNvPr id="2" name="Image 1" descr="C:\Users\waret\Desktop\DOSSIERS\Moh-Ca.jpg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/>
      </xdr:nvPicPr>
      <xdr:blipFill>
        <a:blip xmlns:r="http://schemas.openxmlformats.org/officeDocument/2006/relationships" r:embed="rId1">
          <a:lum bright="1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9176" y="95249"/>
          <a:ext cx="857250" cy="62865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0</xdr:row>
      <xdr:rowOff>133350</xdr:rowOff>
    </xdr:from>
    <xdr:to>
      <xdr:col>6</xdr:col>
      <xdr:colOff>76200</xdr:colOff>
      <xdr:row>4</xdr:row>
      <xdr:rowOff>76201</xdr:rowOff>
    </xdr:to>
    <xdr:pic>
      <xdr:nvPicPr>
        <xdr:cNvPr id="3" name="Image 2" descr="C:\Users\waret\Desktop\DOSSIERS\Moh-Ca.jpg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/>
      </xdr:nvPicPr>
      <xdr:blipFill>
        <a:blip xmlns:r="http://schemas.openxmlformats.org/officeDocument/2006/relationships" r:embed="rId1">
          <a:lum bright="1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1600" y="133350"/>
          <a:ext cx="695325" cy="70485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638175</xdr:colOff>
      <xdr:row>0</xdr:row>
      <xdr:rowOff>95250</xdr:rowOff>
    </xdr:from>
    <xdr:to>
      <xdr:col>5</xdr:col>
      <xdr:colOff>390525</xdr:colOff>
      <xdr:row>3</xdr:row>
      <xdr:rowOff>123826</xdr:rowOff>
    </xdr:to>
    <xdr:pic>
      <xdr:nvPicPr>
        <xdr:cNvPr id="3" name="Image 2" descr="C:\Users\waret\Desktop\DOSSIERS\Moh-Ca.jpg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PicPr/>
      </xdr:nvPicPr>
      <xdr:blipFill>
        <a:blip xmlns:r="http://schemas.openxmlformats.org/officeDocument/2006/relationships" r:embed="rId1">
          <a:lum bright="1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43475" y="95250"/>
          <a:ext cx="676275" cy="60007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400050</xdr:colOff>
      <xdr:row>0</xdr:row>
      <xdr:rowOff>28575</xdr:rowOff>
    </xdr:from>
    <xdr:to>
      <xdr:col>6</xdr:col>
      <xdr:colOff>645795</xdr:colOff>
      <xdr:row>3</xdr:row>
      <xdr:rowOff>51436</xdr:rowOff>
    </xdr:to>
    <xdr:pic>
      <xdr:nvPicPr>
        <xdr:cNvPr id="3" name="Image 2" descr="C:\Users\waret\Desktop\DOSSIERS\Moh-Ca.jpg">
          <a:extLst>
            <a:ext uri="{FF2B5EF4-FFF2-40B4-BE49-F238E27FC236}">
              <a16:creationId xmlns:a16="http://schemas.microsoft.com/office/drawing/2014/main" id="{04F75F21-7CFD-4E5E-BEB7-0B268AD5F64B}"/>
            </a:ext>
          </a:extLst>
        </xdr:cNvPr>
        <xdr:cNvPicPr/>
      </xdr:nvPicPr>
      <xdr:blipFill>
        <a:blip xmlns:r="http://schemas.openxmlformats.org/officeDocument/2006/relationships" r:embed="rId1">
          <a:lum bright="1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7330" y="28575"/>
          <a:ext cx="756285" cy="57150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G127"/>
  <sheetViews>
    <sheetView workbookViewId="0">
      <selection sqref="A1:E4"/>
    </sheetView>
  </sheetViews>
  <sheetFormatPr baseColWidth="10" defaultColWidth="11.42578125" defaultRowHeight="16.5" x14ac:dyDescent="0.3"/>
  <cols>
    <col min="1" max="1" width="6.5703125" style="2" customWidth="1"/>
    <col min="2" max="2" width="34.5703125" style="4" customWidth="1"/>
    <col min="3" max="3" width="18.7109375" style="2" customWidth="1"/>
    <col min="4" max="4" width="11.28515625" style="2" customWidth="1"/>
    <col min="5" max="5" width="9.140625" style="2" customWidth="1"/>
    <col min="6" max="16384" width="11.42578125" style="2"/>
  </cols>
  <sheetData>
    <row r="1" spans="1:7" ht="20.25" x14ac:dyDescent="0.3">
      <c r="A1" s="1" t="s">
        <v>929</v>
      </c>
      <c r="B1" s="6"/>
      <c r="C1" s="31" t="s">
        <v>5</v>
      </c>
      <c r="D1" s="31"/>
      <c r="E1" s="31"/>
    </row>
    <row r="2" spans="1:7" x14ac:dyDescent="0.3">
      <c r="A2" s="1" t="s">
        <v>930</v>
      </c>
      <c r="B2" s="6"/>
      <c r="C2" s="276" t="s">
        <v>6</v>
      </c>
      <c r="D2" s="276"/>
      <c r="E2" s="276"/>
    </row>
    <row r="3" spans="1:7" x14ac:dyDescent="0.3">
      <c r="A3" s="1" t="s">
        <v>931</v>
      </c>
      <c r="B3" s="6"/>
    </row>
    <row r="4" spans="1:7" x14ac:dyDescent="0.3">
      <c r="A4" s="1" t="s">
        <v>932</v>
      </c>
      <c r="B4" s="6"/>
      <c r="D4" s="3"/>
      <c r="E4" s="3"/>
    </row>
    <row r="5" spans="1:7" x14ac:dyDescent="0.3">
      <c r="B5" s="279" t="s">
        <v>934</v>
      </c>
      <c r="C5" s="279"/>
      <c r="D5" s="279"/>
      <c r="E5" s="279"/>
      <c r="F5" s="279"/>
      <c r="G5" s="279"/>
    </row>
    <row r="6" spans="1:7" ht="18" x14ac:dyDescent="0.3">
      <c r="C6" s="279" t="s">
        <v>928</v>
      </c>
      <c r="D6" s="279"/>
      <c r="E6" s="279"/>
      <c r="F6" s="279"/>
      <c r="G6" s="279"/>
    </row>
    <row r="7" spans="1:7" ht="16.5" customHeight="1" x14ac:dyDescent="0.3">
      <c r="B7" s="280" t="s">
        <v>947</v>
      </c>
      <c r="C7" s="280"/>
      <c r="D7" s="280"/>
      <c r="E7" s="280"/>
      <c r="F7" s="280"/>
      <c r="G7" s="280"/>
    </row>
    <row r="8" spans="1:7" x14ac:dyDescent="0.3">
      <c r="B8" s="280"/>
      <c r="C8" s="280"/>
      <c r="D8" s="280"/>
      <c r="E8" s="280"/>
      <c r="F8" s="280"/>
      <c r="G8" s="280"/>
    </row>
    <row r="9" spans="1:7" x14ac:dyDescent="0.3">
      <c r="B9" s="277"/>
      <c r="C9" s="277"/>
      <c r="D9" s="277"/>
      <c r="E9" s="278"/>
    </row>
    <row r="10" spans="1:7" s="8" customFormat="1" ht="36.75" customHeight="1" x14ac:dyDescent="0.2">
      <c r="A10" s="30" t="s">
        <v>106</v>
      </c>
      <c r="B10" s="35" t="s">
        <v>0</v>
      </c>
      <c r="C10" s="35" t="s">
        <v>208</v>
      </c>
      <c r="D10" s="35" t="s">
        <v>209</v>
      </c>
      <c r="E10" s="35" t="s">
        <v>210</v>
      </c>
    </row>
    <row r="11" spans="1:7" s="5" customFormat="1" ht="16.899999999999999" customHeight="1" x14ac:dyDescent="0.3">
      <c r="A11" s="10" t="s">
        <v>317</v>
      </c>
      <c r="B11" s="10" t="s">
        <v>479</v>
      </c>
      <c r="C11" s="32">
        <v>16</v>
      </c>
      <c r="D11" s="32">
        <v>15.666666666666666</v>
      </c>
      <c r="E11" s="44">
        <v>15.777777777777777</v>
      </c>
    </row>
    <row r="12" spans="1:7" s="5" customFormat="1" ht="16.899999999999999" customHeight="1" x14ac:dyDescent="0.3">
      <c r="A12" s="10" t="s">
        <v>212</v>
      </c>
      <c r="B12" s="10" t="s">
        <v>484</v>
      </c>
      <c r="C12" s="32">
        <v>15</v>
      </c>
      <c r="D12" s="32">
        <v>15.666666666666666</v>
      </c>
      <c r="E12" s="44">
        <v>15.444444444444443</v>
      </c>
    </row>
    <row r="13" spans="1:7" s="5" customFormat="1" ht="18" customHeight="1" x14ac:dyDescent="0.3">
      <c r="A13" s="10" t="s">
        <v>213</v>
      </c>
      <c r="B13" s="10" t="s">
        <v>496</v>
      </c>
      <c r="C13" s="32">
        <v>12.8</v>
      </c>
      <c r="D13" s="32">
        <v>14</v>
      </c>
      <c r="E13" s="44">
        <v>13.6</v>
      </c>
    </row>
    <row r="14" spans="1:7" s="5" customFormat="1" ht="16.899999999999999" customHeight="1" x14ac:dyDescent="0.3">
      <c r="A14" s="10" t="s">
        <v>214</v>
      </c>
      <c r="B14" s="10" t="s">
        <v>513</v>
      </c>
      <c r="C14" s="32">
        <v>12.4</v>
      </c>
      <c r="D14" s="32">
        <v>13.916666666666666</v>
      </c>
      <c r="E14" s="44">
        <v>13.411111111111111</v>
      </c>
    </row>
    <row r="15" spans="1:7" s="5" customFormat="1" ht="16.899999999999999" customHeight="1" x14ac:dyDescent="0.3">
      <c r="A15" s="10" t="s">
        <v>215</v>
      </c>
      <c r="B15" s="10" t="s">
        <v>490</v>
      </c>
      <c r="C15" s="32">
        <v>14.1</v>
      </c>
      <c r="D15" s="32">
        <v>13</v>
      </c>
      <c r="E15" s="44">
        <v>13.366666666666667</v>
      </c>
    </row>
    <row r="16" spans="1:7" s="5" customFormat="1" ht="16.899999999999999" customHeight="1" x14ac:dyDescent="0.3">
      <c r="A16" s="10" t="s">
        <v>216</v>
      </c>
      <c r="B16" s="10" t="s">
        <v>514</v>
      </c>
      <c r="C16" s="32">
        <v>12.4</v>
      </c>
      <c r="D16" s="32">
        <v>13.333333333333334</v>
      </c>
      <c r="E16" s="44">
        <v>13.022222222222224</v>
      </c>
    </row>
    <row r="17" spans="1:5" s="11" customFormat="1" ht="16.899999999999999" customHeight="1" x14ac:dyDescent="0.3">
      <c r="A17" s="10" t="s">
        <v>217</v>
      </c>
      <c r="B17" s="10" t="s">
        <v>464</v>
      </c>
      <c r="C17" s="44">
        <v>13.3</v>
      </c>
      <c r="D17" s="44">
        <v>12.833333333333334</v>
      </c>
      <c r="E17" s="44">
        <v>12.988888888888889</v>
      </c>
    </row>
    <row r="18" spans="1:5" s="11" customFormat="1" ht="16.899999999999999" customHeight="1" x14ac:dyDescent="0.3">
      <c r="A18" s="10" t="s">
        <v>218</v>
      </c>
      <c r="B18" s="10" t="s">
        <v>480</v>
      </c>
      <c r="C18" s="32">
        <v>13.6</v>
      </c>
      <c r="D18" s="32">
        <v>12.416666666666666</v>
      </c>
      <c r="E18" s="37">
        <v>12.81111111111111</v>
      </c>
    </row>
    <row r="19" spans="1:5" s="5" customFormat="1" ht="16.899999999999999" customHeight="1" x14ac:dyDescent="0.3">
      <c r="A19" s="10" t="s">
        <v>219</v>
      </c>
      <c r="B19" s="10" t="s">
        <v>481</v>
      </c>
      <c r="C19" s="32">
        <v>14.2</v>
      </c>
      <c r="D19" s="32">
        <v>12.083333333333334</v>
      </c>
      <c r="E19" s="44">
        <v>12.78888888888889</v>
      </c>
    </row>
    <row r="20" spans="1:5" s="5" customFormat="1" ht="16.899999999999999" customHeight="1" x14ac:dyDescent="0.3">
      <c r="A20" s="10" t="s">
        <v>220</v>
      </c>
      <c r="B20" s="10" t="s">
        <v>470</v>
      </c>
      <c r="C20" s="37">
        <v>13.2</v>
      </c>
      <c r="D20" s="44">
        <v>12.416666666666666</v>
      </c>
      <c r="E20" s="44">
        <v>12.677777777777777</v>
      </c>
    </row>
    <row r="21" spans="1:5" s="5" customFormat="1" ht="16.899999999999999" customHeight="1" x14ac:dyDescent="0.3">
      <c r="A21" s="10" t="s">
        <v>221</v>
      </c>
      <c r="B21" s="10" t="s">
        <v>476</v>
      </c>
      <c r="C21" s="44">
        <v>13.7</v>
      </c>
      <c r="D21" s="44">
        <v>12.083333333333334</v>
      </c>
      <c r="E21" s="44">
        <v>12.622222222222222</v>
      </c>
    </row>
    <row r="22" spans="1:5" s="11" customFormat="1" ht="16.899999999999999" customHeight="1" x14ac:dyDescent="0.3">
      <c r="A22" s="10" t="s">
        <v>222</v>
      </c>
      <c r="B22" s="10" t="s">
        <v>495</v>
      </c>
      <c r="C22" s="32">
        <v>12.8</v>
      </c>
      <c r="D22" s="32">
        <v>12.5</v>
      </c>
      <c r="E22" s="44">
        <v>12.6</v>
      </c>
    </row>
    <row r="23" spans="1:5" s="5" customFormat="1" ht="17.45" customHeight="1" x14ac:dyDescent="0.3">
      <c r="A23" s="10" t="s">
        <v>223</v>
      </c>
      <c r="B23" s="10" t="s">
        <v>483</v>
      </c>
      <c r="C23" s="32">
        <v>13.8</v>
      </c>
      <c r="D23" s="32">
        <v>11.916666666666666</v>
      </c>
      <c r="E23" s="44">
        <v>12.544444444444444</v>
      </c>
    </row>
    <row r="24" spans="1:5" s="5" customFormat="1" ht="16.899999999999999" customHeight="1" x14ac:dyDescent="0.3">
      <c r="A24" s="10" t="s">
        <v>224</v>
      </c>
      <c r="B24" s="10" t="s">
        <v>508</v>
      </c>
      <c r="C24" s="32">
        <v>12.3</v>
      </c>
      <c r="D24" s="32">
        <v>12.583333333333334</v>
      </c>
      <c r="E24" s="44">
        <v>12.488888888888889</v>
      </c>
    </row>
    <row r="25" spans="1:5" s="5" customFormat="1" ht="18.75" customHeight="1" x14ac:dyDescent="0.3">
      <c r="A25" s="10" t="s">
        <v>226</v>
      </c>
      <c r="B25" s="10" t="s">
        <v>493</v>
      </c>
      <c r="C25" s="32">
        <v>12.9</v>
      </c>
      <c r="D25" s="32">
        <v>11.666666666666666</v>
      </c>
      <c r="E25" s="44">
        <v>12.077777777777778</v>
      </c>
    </row>
    <row r="26" spans="1:5" s="5" customFormat="1" ht="16.899999999999999" customHeight="1" x14ac:dyDescent="0.3">
      <c r="A26" s="10" t="s">
        <v>225</v>
      </c>
      <c r="B26" s="10" t="s">
        <v>505</v>
      </c>
      <c r="C26" s="32">
        <v>12.3</v>
      </c>
      <c r="D26" s="32">
        <v>11.916666666666666</v>
      </c>
      <c r="E26" s="44">
        <v>12.044444444444444</v>
      </c>
    </row>
    <row r="27" spans="1:5" s="5" customFormat="1" ht="16.899999999999999" customHeight="1" x14ac:dyDescent="0.3">
      <c r="A27" s="10" t="s">
        <v>227</v>
      </c>
      <c r="B27" s="10" t="s">
        <v>509</v>
      </c>
      <c r="C27" s="32">
        <v>11.8</v>
      </c>
      <c r="D27" s="32">
        <v>11.916666666666666</v>
      </c>
      <c r="E27" s="44">
        <v>11.877777777777778</v>
      </c>
    </row>
    <row r="28" spans="1:5" s="5" customFormat="1" ht="16.899999999999999" customHeight="1" x14ac:dyDescent="0.3">
      <c r="A28" s="10" t="s">
        <v>228</v>
      </c>
      <c r="B28" s="10" t="s">
        <v>467</v>
      </c>
      <c r="C28" s="44">
        <v>12.6</v>
      </c>
      <c r="D28" s="44">
        <v>11.416666666666666</v>
      </c>
      <c r="E28" s="44">
        <v>11.81111111111111</v>
      </c>
    </row>
    <row r="29" spans="1:5" s="5" customFormat="1" ht="16.899999999999999" customHeight="1" x14ac:dyDescent="0.3">
      <c r="A29" s="10" t="s">
        <v>229</v>
      </c>
      <c r="B29" s="10" t="s">
        <v>485</v>
      </c>
      <c r="C29" s="32">
        <v>12.8</v>
      </c>
      <c r="D29" s="32">
        <v>11.083333333333334</v>
      </c>
      <c r="E29" s="44">
        <v>11.655555555555557</v>
      </c>
    </row>
    <row r="30" spans="1:5" s="5" customFormat="1" ht="16.899999999999999" customHeight="1" x14ac:dyDescent="0.3">
      <c r="A30" s="10" t="s">
        <v>230</v>
      </c>
      <c r="B30" s="10" t="s">
        <v>492</v>
      </c>
      <c r="C30" s="32">
        <v>12.3</v>
      </c>
      <c r="D30" s="32">
        <v>11.25</v>
      </c>
      <c r="E30" s="44">
        <v>11.6</v>
      </c>
    </row>
    <row r="31" spans="1:5" s="5" customFormat="1" ht="16.899999999999999" customHeight="1" x14ac:dyDescent="0.3">
      <c r="A31" s="10" t="s">
        <v>315</v>
      </c>
      <c r="B31" s="10" t="s">
        <v>500</v>
      </c>
      <c r="C31" s="32">
        <v>10.9</v>
      </c>
      <c r="D31" s="32">
        <v>11.583333333333334</v>
      </c>
      <c r="E31" s="44">
        <v>11.355555555555556</v>
      </c>
    </row>
    <row r="32" spans="1:5" s="5" customFormat="1" ht="16.899999999999999" customHeight="1" x14ac:dyDescent="0.3">
      <c r="A32" s="10" t="s">
        <v>232</v>
      </c>
      <c r="B32" s="10" t="s">
        <v>511</v>
      </c>
      <c r="C32" s="212">
        <v>11.7</v>
      </c>
      <c r="D32" s="32">
        <v>10.916666666666666</v>
      </c>
      <c r="E32" s="44">
        <v>11.177777777777777</v>
      </c>
    </row>
    <row r="33" spans="1:5" s="13" customFormat="1" ht="16.899999999999999" customHeight="1" x14ac:dyDescent="0.3">
      <c r="A33" s="10" t="s">
        <v>233</v>
      </c>
      <c r="B33" s="10" t="s">
        <v>489</v>
      </c>
      <c r="C33" s="32">
        <v>11.4</v>
      </c>
      <c r="D33" s="32">
        <v>10.75</v>
      </c>
      <c r="E33" s="44">
        <v>10.966666666666667</v>
      </c>
    </row>
    <row r="34" spans="1:5" s="5" customFormat="1" ht="16.899999999999999" customHeight="1" x14ac:dyDescent="0.3">
      <c r="A34" s="10" t="s">
        <v>234</v>
      </c>
      <c r="B34" s="10" t="s">
        <v>482</v>
      </c>
      <c r="C34" s="32">
        <v>11.8</v>
      </c>
      <c r="D34" s="32">
        <v>10.166666666666666</v>
      </c>
      <c r="E34" s="44">
        <v>10.71111111111111</v>
      </c>
    </row>
    <row r="35" spans="1:5" s="5" customFormat="1" ht="16.899999999999999" customHeight="1" x14ac:dyDescent="0.3">
      <c r="A35" s="10" t="s">
        <v>235</v>
      </c>
      <c r="B35" s="10" t="s">
        <v>488</v>
      </c>
      <c r="C35" s="32">
        <v>11.5</v>
      </c>
      <c r="D35" s="32">
        <v>9.8333333333333339</v>
      </c>
      <c r="E35" s="37">
        <v>10.388888888888889</v>
      </c>
    </row>
    <row r="36" spans="1:5" s="5" customFormat="1" ht="16.899999999999999" customHeight="1" x14ac:dyDescent="0.3">
      <c r="A36" s="10" t="s">
        <v>236</v>
      </c>
      <c r="B36" s="10" t="s">
        <v>503</v>
      </c>
      <c r="C36" s="32">
        <v>7.2</v>
      </c>
      <c r="D36" s="32">
        <v>11.833333333333334</v>
      </c>
      <c r="E36" s="44">
        <v>10.28888888888889</v>
      </c>
    </row>
    <row r="37" spans="1:5" s="5" customFormat="1" ht="16.899999999999999" customHeight="1" x14ac:dyDescent="0.3">
      <c r="A37" s="10" t="s">
        <v>237</v>
      </c>
      <c r="B37" s="10" t="s">
        <v>469</v>
      </c>
      <c r="C37" s="44">
        <v>11.1</v>
      </c>
      <c r="D37" s="44">
        <v>9.5</v>
      </c>
      <c r="E37" s="44">
        <v>10.033333333333333</v>
      </c>
    </row>
    <row r="38" spans="1:5" s="5" customFormat="1" ht="16.899999999999999" customHeight="1" x14ac:dyDescent="0.3">
      <c r="A38" s="10" t="s">
        <v>238</v>
      </c>
      <c r="B38" s="10" t="s">
        <v>472</v>
      </c>
      <c r="C38" s="44">
        <v>11.6</v>
      </c>
      <c r="D38" s="44">
        <v>9.25</v>
      </c>
      <c r="E38" s="44">
        <v>10.033333333333333</v>
      </c>
    </row>
    <row r="39" spans="1:5" s="5" customFormat="1" ht="16.899999999999999" customHeight="1" x14ac:dyDescent="0.3">
      <c r="A39" s="10" t="s">
        <v>239</v>
      </c>
      <c r="B39" s="10" t="s">
        <v>474</v>
      </c>
      <c r="C39" s="44">
        <v>10.9</v>
      </c>
      <c r="D39" s="44">
        <v>9.5</v>
      </c>
      <c r="E39" s="44">
        <v>9.9666666666666668</v>
      </c>
    </row>
    <row r="40" spans="1:5" s="5" customFormat="1" ht="16.899999999999999" customHeight="1" x14ac:dyDescent="0.3">
      <c r="A40" s="10" t="s">
        <v>240</v>
      </c>
      <c r="B40" s="10" t="s">
        <v>475</v>
      </c>
      <c r="C40" s="243">
        <v>12.6</v>
      </c>
      <c r="D40" s="37">
        <v>8.5</v>
      </c>
      <c r="E40" s="44">
        <v>9.8666666666666671</v>
      </c>
    </row>
    <row r="41" spans="1:5" s="5" customFormat="1" ht="16.899999999999999" customHeight="1" x14ac:dyDescent="0.3">
      <c r="A41" s="10" t="s">
        <v>314</v>
      </c>
      <c r="B41" s="10" t="s">
        <v>486</v>
      </c>
      <c r="C41" s="242">
        <v>11.3</v>
      </c>
      <c r="D41" s="32">
        <v>8.8333333333333339</v>
      </c>
      <c r="E41" s="37">
        <v>9.6555555555555568</v>
      </c>
    </row>
    <row r="42" spans="1:5" s="5" customFormat="1" ht="16.899999999999999" customHeight="1" x14ac:dyDescent="0.3">
      <c r="A42" s="10" t="s">
        <v>242</v>
      </c>
      <c r="B42" s="10" t="s">
        <v>478</v>
      </c>
      <c r="C42" s="32">
        <v>10.8</v>
      </c>
      <c r="D42" s="32">
        <v>8.9166666666666661</v>
      </c>
      <c r="E42" s="44">
        <v>9.5444444444444443</v>
      </c>
    </row>
    <row r="43" spans="1:5" s="5" customFormat="1" ht="16.899999999999999" customHeight="1" x14ac:dyDescent="0.3">
      <c r="A43" s="10" t="s">
        <v>243</v>
      </c>
      <c r="B43" s="10" t="s">
        <v>473</v>
      </c>
      <c r="C43" s="44">
        <v>10.6</v>
      </c>
      <c r="D43" s="44">
        <v>8.75</v>
      </c>
      <c r="E43" s="44">
        <v>9.3666666666666671</v>
      </c>
    </row>
    <row r="44" spans="1:5" s="5" customFormat="1" ht="16.899999999999999" customHeight="1" x14ac:dyDescent="0.3">
      <c r="A44" s="10" t="s">
        <v>244</v>
      </c>
      <c r="B44" s="10" t="s">
        <v>491</v>
      </c>
      <c r="C44" s="32">
        <v>10.9</v>
      </c>
      <c r="D44" s="32">
        <v>8.5833333333333339</v>
      </c>
      <c r="E44" s="44">
        <v>9.3555555555555561</v>
      </c>
    </row>
    <row r="45" spans="1:5" s="5" customFormat="1" ht="16.899999999999999" customHeight="1" x14ac:dyDescent="0.3">
      <c r="A45" s="10" t="s">
        <v>245</v>
      </c>
      <c r="B45" s="10" t="s">
        <v>477</v>
      </c>
      <c r="C45" s="32">
        <v>10.7</v>
      </c>
      <c r="D45" s="32">
        <v>8.4166666666666661</v>
      </c>
      <c r="E45" s="32">
        <v>9.1777777777777771</v>
      </c>
    </row>
    <row r="46" spans="1:5" s="5" customFormat="1" ht="16.899999999999999" customHeight="1" x14ac:dyDescent="0.3">
      <c r="A46" s="10" t="s">
        <v>246</v>
      </c>
      <c r="B46" s="10" t="s">
        <v>487</v>
      </c>
      <c r="C46" s="32">
        <v>11.6</v>
      </c>
      <c r="D46" s="32">
        <v>7.916666666666667</v>
      </c>
      <c r="E46" s="44">
        <v>9.1444444444444439</v>
      </c>
    </row>
    <row r="47" spans="1:5" s="13" customFormat="1" ht="16.899999999999999" customHeight="1" x14ac:dyDescent="0.3">
      <c r="A47" s="10" t="s">
        <v>247</v>
      </c>
      <c r="B47" s="10" t="s">
        <v>468</v>
      </c>
      <c r="C47" s="44">
        <v>10.6</v>
      </c>
      <c r="D47" s="44">
        <v>8.25</v>
      </c>
      <c r="E47" s="44">
        <v>9.0333333333333332</v>
      </c>
    </row>
    <row r="48" spans="1:5" s="5" customFormat="1" ht="16.899999999999999" customHeight="1" x14ac:dyDescent="0.3">
      <c r="A48" s="10" t="s">
        <v>248</v>
      </c>
      <c r="B48" s="10" t="s">
        <v>497</v>
      </c>
      <c r="C48" s="32">
        <v>9.8000000000000007</v>
      </c>
      <c r="D48" s="32">
        <v>8.4166666666666661</v>
      </c>
      <c r="E48" s="37">
        <v>8.8777777777777782</v>
      </c>
    </row>
    <row r="49" spans="1:6" s="5" customFormat="1" ht="16.899999999999999" customHeight="1" x14ac:dyDescent="0.3">
      <c r="A49" s="10" t="s">
        <v>249</v>
      </c>
      <c r="B49" s="10" t="s">
        <v>504</v>
      </c>
      <c r="C49" s="32">
        <v>11.7</v>
      </c>
      <c r="D49" s="32">
        <v>7.416666666666667</v>
      </c>
      <c r="E49" s="44">
        <v>8.8444444444444432</v>
      </c>
    </row>
    <row r="50" spans="1:6" s="5" customFormat="1" ht="16.899999999999999" customHeight="1" x14ac:dyDescent="0.3">
      <c r="A50" s="10" t="s">
        <v>250</v>
      </c>
      <c r="B50" s="10" t="s">
        <v>471</v>
      </c>
      <c r="C50" s="44">
        <v>9.6</v>
      </c>
      <c r="D50" s="44">
        <v>8.4166666666666661</v>
      </c>
      <c r="E50" s="44">
        <v>8.81111111111111</v>
      </c>
    </row>
    <row r="51" spans="1:6" s="5" customFormat="1" ht="18" customHeight="1" x14ac:dyDescent="0.3">
      <c r="A51" s="10" t="s">
        <v>313</v>
      </c>
      <c r="B51" s="10" t="s">
        <v>506</v>
      </c>
      <c r="C51" s="32">
        <v>8.9</v>
      </c>
      <c r="D51" s="32">
        <v>8.3333333333333339</v>
      </c>
      <c r="E51" s="44">
        <v>8.5222222222222239</v>
      </c>
    </row>
    <row r="52" spans="1:6" s="5" customFormat="1" ht="17.25" customHeight="1" x14ac:dyDescent="0.3">
      <c r="A52" s="10" t="s">
        <v>252</v>
      </c>
      <c r="B52" s="10" t="s">
        <v>498</v>
      </c>
      <c r="C52" s="32">
        <v>9.4</v>
      </c>
      <c r="D52" s="32">
        <v>7.833333333333333</v>
      </c>
      <c r="E52" s="44">
        <v>8.3555555555555561</v>
      </c>
    </row>
    <row r="53" spans="1:6" s="5" customFormat="1" ht="16.899999999999999" customHeight="1" x14ac:dyDescent="0.3">
      <c r="A53" s="10" t="s">
        <v>253</v>
      </c>
      <c r="B53" s="10" t="s">
        <v>466</v>
      </c>
      <c r="C53" s="44">
        <v>10.199999999999999</v>
      </c>
      <c r="D53" s="44">
        <v>7.416666666666667</v>
      </c>
      <c r="E53" s="44">
        <v>8.3444444444444432</v>
      </c>
    </row>
    <row r="54" spans="1:6" s="5" customFormat="1" ht="17.25" customHeight="1" x14ac:dyDescent="0.3">
      <c r="A54" s="10" t="s">
        <v>254</v>
      </c>
      <c r="B54" s="10" t="s">
        <v>507</v>
      </c>
      <c r="C54" s="32">
        <v>10.3</v>
      </c>
      <c r="D54" s="32">
        <v>7.083333333333333</v>
      </c>
      <c r="E54" s="44">
        <v>8.1555555555555568</v>
      </c>
    </row>
    <row r="55" spans="1:6" s="5" customFormat="1" ht="17.25" customHeight="1" x14ac:dyDescent="0.3">
      <c r="A55" s="10" t="s">
        <v>255</v>
      </c>
      <c r="B55" s="10" t="s">
        <v>499</v>
      </c>
      <c r="C55" s="242">
        <v>9.4</v>
      </c>
      <c r="D55" s="32">
        <v>7.25</v>
      </c>
      <c r="E55" s="44">
        <v>7.9666666666666659</v>
      </c>
    </row>
    <row r="56" spans="1:6" s="5" customFormat="1" ht="16.899999999999999" customHeight="1" x14ac:dyDescent="0.3">
      <c r="A56" s="10" t="s">
        <v>256</v>
      </c>
      <c r="B56" s="10" t="s">
        <v>465</v>
      </c>
      <c r="C56" s="37">
        <v>10.1</v>
      </c>
      <c r="D56" s="44">
        <v>6.833333333333333</v>
      </c>
      <c r="E56" s="44">
        <v>7.9222222222222216</v>
      </c>
    </row>
    <row r="57" spans="1:6" s="5" customFormat="1" ht="16.899999999999999" customHeight="1" x14ac:dyDescent="0.3">
      <c r="A57" s="10" t="s">
        <v>257</v>
      </c>
      <c r="B57" s="10" t="s">
        <v>510</v>
      </c>
      <c r="C57" s="32">
        <v>8.8000000000000007</v>
      </c>
      <c r="D57" s="212">
        <v>6.666666666666667</v>
      </c>
      <c r="E57" s="44">
        <v>7.3777777777777773</v>
      </c>
    </row>
    <row r="58" spans="1:6" s="11" customFormat="1" ht="16.899999999999999" customHeight="1" x14ac:dyDescent="0.3">
      <c r="A58" s="10" t="s">
        <v>258</v>
      </c>
      <c r="B58" s="10" t="s">
        <v>512</v>
      </c>
      <c r="C58" s="32">
        <v>8.9</v>
      </c>
      <c r="D58" s="32">
        <v>5.75</v>
      </c>
      <c r="E58" s="44">
        <v>6.8</v>
      </c>
    </row>
    <row r="59" spans="1:6" s="5" customFormat="1" ht="16.899999999999999" customHeight="1" x14ac:dyDescent="0.3">
      <c r="A59" s="10" t="s">
        <v>259</v>
      </c>
      <c r="B59" s="10" t="s">
        <v>502</v>
      </c>
      <c r="C59" s="32">
        <v>8.9</v>
      </c>
      <c r="D59" s="32">
        <v>0.91666666666666663</v>
      </c>
      <c r="E59" s="44">
        <v>3.5777777777777779</v>
      </c>
    </row>
    <row r="60" spans="1:6" s="5" customFormat="1" ht="16.899999999999999" customHeight="1" x14ac:dyDescent="0.3">
      <c r="A60" s="10" t="s">
        <v>260</v>
      </c>
      <c r="B60" s="10" t="s">
        <v>501</v>
      </c>
      <c r="C60" s="32">
        <v>8.6999999999999993</v>
      </c>
      <c r="D60" s="32">
        <v>0.83333333333333337</v>
      </c>
      <c r="E60" s="44">
        <v>3.4555555555555553</v>
      </c>
    </row>
    <row r="61" spans="1:6" s="5" customFormat="1" ht="16.899999999999999" customHeight="1" x14ac:dyDescent="0.3">
      <c r="A61" s="10" t="s">
        <v>312</v>
      </c>
      <c r="B61" s="10" t="s">
        <v>494</v>
      </c>
      <c r="C61" s="32">
        <v>0</v>
      </c>
      <c r="D61" s="32">
        <v>0</v>
      </c>
      <c r="E61" s="44">
        <v>0</v>
      </c>
    </row>
    <row r="62" spans="1:6" s="5" customFormat="1" ht="16.899999999999999" customHeight="1" x14ac:dyDescent="0.2"/>
    <row r="63" spans="1:6" s="5" customFormat="1" ht="16.899999999999999" customHeight="1" x14ac:dyDescent="0.2"/>
    <row r="64" spans="1:6" s="5" customFormat="1" ht="16.899999999999999" customHeight="1" x14ac:dyDescent="0.3">
      <c r="B64" s="2"/>
      <c r="C64" s="281" t="s">
        <v>392</v>
      </c>
      <c r="D64" s="281"/>
      <c r="E64" s="281"/>
      <c r="F64" s="281"/>
    </row>
    <row r="65" spans="2:6" s="5" customFormat="1" ht="16.899999999999999" customHeight="1" x14ac:dyDescent="0.3">
      <c r="B65" s="2"/>
      <c r="C65" s="2"/>
      <c r="D65" s="2"/>
      <c r="E65" s="2"/>
      <c r="F65" s="2"/>
    </row>
    <row r="66" spans="2:6" s="5" customFormat="1" ht="16.899999999999999" customHeight="1" x14ac:dyDescent="0.3">
      <c r="B66" s="2"/>
      <c r="C66" s="2"/>
      <c r="D66" s="47" t="s">
        <v>393</v>
      </c>
      <c r="E66" s="47" t="s">
        <v>394</v>
      </c>
      <c r="F66" s="47" t="s">
        <v>395</v>
      </c>
    </row>
    <row r="67" spans="2:6" s="5" customFormat="1" ht="16.899999999999999" customHeight="1" x14ac:dyDescent="0.3">
      <c r="B67" s="2"/>
      <c r="C67" s="48" t="s">
        <v>396</v>
      </c>
      <c r="D67" s="49">
        <v>22</v>
      </c>
      <c r="E67" s="49">
        <v>29</v>
      </c>
      <c r="F67" s="49">
        <v>51</v>
      </c>
    </row>
    <row r="68" spans="2:6" s="5" customFormat="1" ht="16.899999999999999" customHeight="1" x14ac:dyDescent="0.3">
      <c r="B68" s="2"/>
      <c r="C68" s="10" t="s">
        <v>397</v>
      </c>
      <c r="D68" s="49">
        <v>21</v>
      </c>
      <c r="E68" s="49">
        <v>29</v>
      </c>
      <c r="F68" s="49">
        <v>50</v>
      </c>
    </row>
    <row r="69" spans="2:6" s="5" customFormat="1" ht="16.899999999999999" customHeight="1" x14ac:dyDescent="0.3">
      <c r="B69" s="2"/>
      <c r="C69" s="10" t="s">
        <v>398</v>
      </c>
      <c r="D69" s="49">
        <v>1</v>
      </c>
      <c r="E69" s="49">
        <v>0</v>
      </c>
      <c r="F69" s="49">
        <v>1</v>
      </c>
    </row>
    <row r="70" spans="2:6" s="5" customFormat="1" x14ac:dyDescent="0.3">
      <c r="B70" s="2"/>
      <c r="C70" s="10" t="s">
        <v>399</v>
      </c>
      <c r="D70" s="49">
        <v>12</v>
      </c>
      <c r="E70" s="49">
        <v>16</v>
      </c>
      <c r="F70" s="49">
        <v>28</v>
      </c>
    </row>
    <row r="71" spans="2:6" s="5" customFormat="1" x14ac:dyDescent="0.3">
      <c r="B71" s="2"/>
      <c r="C71" s="10" t="s">
        <v>400</v>
      </c>
      <c r="D71" s="49">
        <v>10</v>
      </c>
      <c r="E71" s="49">
        <v>12</v>
      </c>
      <c r="F71" s="49">
        <v>22</v>
      </c>
    </row>
    <row r="72" spans="2:6" s="5" customFormat="1" x14ac:dyDescent="0.3">
      <c r="B72" s="2"/>
      <c r="C72" s="10" t="s">
        <v>401</v>
      </c>
      <c r="D72" s="50">
        <f>+D70/D67</f>
        <v>0.54545454545454541</v>
      </c>
      <c r="E72" s="50">
        <f>+E70/E67</f>
        <v>0.55172413793103448</v>
      </c>
      <c r="F72" s="50">
        <f>+F70/F67</f>
        <v>0.5490196078431373</v>
      </c>
    </row>
    <row r="73" spans="2:6" s="5" customFormat="1" ht="15" x14ac:dyDescent="0.25">
      <c r="B73"/>
      <c r="C73"/>
      <c r="D73"/>
      <c r="E73"/>
      <c r="F73"/>
    </row>
    <row r="74" spans="2:6" s="5" customFormat="1" x14ac:dyDescent="0.3">
      <c r="B74" s="2"/>
      <c r="C74" s="2"/>
      <c r="D74" s="2"/>
      <c r="E74" s="2"/>
      <c r="F74" s="2"/>
    </row>
    <row r="75" spans="2:6" s="5" customFormat="1" x14ac:dyDescent="0.3">
      <c r="B75" s="2"/>
      <c r="C75" s="2"/>
      <c r="D75" s="2"/>
      <c r="E75" s="2"/>
      <c r="F75" s="2"/>
    </row>
    <row r="76" spans="2:6" s="5" customFormat="1" x14ac:dyDescent="0.3">
      <c r="B76" s="2"/>
      <c r="C76" s="2"/>
      <c r="D76" s="15" t="s">
        <v>925</v>
      </c>
      <c r="E76" s="241"/>
      <c r="F76" s="53"/>
    </row>
    <row r="77" spans="2:6" s="5" customFormat="1" x14ac:dyDescent="0.3">
      <c r="B77" s="2"/>
      <c r="C77" s="2"/>
      <c r="D77" s="2"/>
      <c r="E77" s="2"/>
      <c r="F77" s="2"/>
    </row>
    <row r="78" spans="2:6" s="5" customFormat="1" ht="18.75" x14ac:dyDescent="0.3">
      <c r="B78" s="282" t="s">
        <v>921</v>
      </c>
      <c r="C78" s="282"/>
      <c r="D78" s="15"/>
      <c r="E78" s="244" t="s">
        <v>404</v>
      </c>
      <c r="F78" s="15"/>
    </row>
    <row r="79" spans="2:6" s="5" customFormat="1" x14ac:dyDescent="0.3">
      <c r="B79" s="15"/>
      <c r="C79" s="15"/>
      <c r="D79" s="15"/>
      <c r="E79" s="15"/>
      <c r="F79" s="15"/>
    </row>
    <row r="80" spans="2:6" s="5" customFormat="1" x14ac:dyDescent="0.3">
      <c r="B80" s="15"/>
      <c r="C80" s="15"/>
      <c r="D80" s="15"/>
      <c r="E80" s="15"/>
      <c r="F80" s="15"/>
    </row>
    <row r="81" spans="2:6" s="5" customFormat="1" ht="12.75" x14ac:dyDescent="0.2"/>
    <row r="82" spans="2:6" s="5" customFormat="1" ht="12.75" x14ac:dyDescent="0.2"/>
    <row r="83" spans="2:6" s="5" customFormat="1" ht="15.75" x14ac:dyDescent="0.25">
      <c r="B83" s="282" t="s">
        <v>922</v>
      </c>
      <c r="C83" s="282"/>
      <c r="D83" s="249"/>
      <c r="E83" s="249" t="s">
        <v>8</v>
      </c>
      <c r="F83" s="249"/>
    </row>
    <row r="84" spans="2:6" s="5" customFormat="1" ht="12.75" x14ac:dyDescent="0.2"/>
    <row r="85" spans="2:6" s="5" customFormat="1" ht="12.75" x14ac:dyDescent="0.2"/>
    <row r="86" spans="2:6" s="5" customFormat="1" ht="12.75" x14ac:dyDescent="0.2"/>
    <row r="87" spans="2:6" s="5" customFormat="1" ht="12.75" x14ac:dyDescent="0.2"/>
    <row r="88" spans="2:6" s="5" customFormat="1" ht="12.75" x14ac:dyDescent="0.2"/>
    <row r="89" spans="2:6" s="5" customFormat="1" ht="12.75" x14ac:dyDescent="0.2"/>
    <row r="90" spans="2:6" s="5" customFormat="1" ht="12.75" x14ac:dyDescent="0.2"/>
    <row r="91" spans="2:6" s="5" customFormat="1" ht="12.75" x14ac:dyDescent="0.2"/>
    <row r="92" spans="2:6" s="5" customFormat="1" ht="12.75" x14ac:dyDescent="0.2"/>
    <row r="93" spans="2:6" s="5" customFormat="1" ht="12.75" x14ac:dyDescent="0.2"/>
    <row r="94" spans="2:6" s="5" customFormat="1" ht="12.75" x14ac:dyDescent="0.2"/>
    <row r="95" spans="2:6" s="5" customFormat="1" ht="12.75" x14ac:dyDescent="0.2"/>
    <row r="96" spans="2:6" s="5" customFormat="1" ht="12.75" x14ac:dyDescent="0.2"/>
    <row r="97" spans="1:3" s="5" customFormat="1" ht="12.75" x14ac:dyDescent="0.2"/>
    <row r="98" spans="1:3" s="5" customFormat="1" ht="12.75" x14ac:dyDescent="0.2"/>
    <row r="99" spans="1:3" s="5" customFormat="1" ht="12.75" x14ac:dyDescent="0.2"/>
    <row r="100" spans="1:3" s="5" customFormat="1" ht="12.75" x14ac:dyDescent="0.2"/>
    <row r="101" spans="1:3" s="5" customFormat="1" ht="12.75" x14ac:dyDescent="0.2"/>
    <row r="102" spans="1:3" s="5" customFormat="1" ht="12.75" x14ac:dyDescent="0.2"/>
    <row r="103" spans="1:3" s="5" customFormat="1" ht="12.75" x14ac:dyDescent="0.2"/>
    <row r="104" spans="1:3" s="13" customFormat="1" ht="12.75" x14ac:dyDescent="0.2"/>
    <row r="105" spans="1:3" s="5" customFormat="1" ht="12.75" x14ac:dyDescent="0.2"/>
    <row r="106" spans="1:3" s="5" customFormat="1" ht="12.75" x14ac:dyDescent="0.2"/>
    <row r="107" spans="1:3" s="5" customFormat="1" ht="12.75" x14ac:dyDescent="0.2"/>
    <row r="108" spans="1:3" s="5" customFormat="1" ht="12.75" x14ac:dyDescent="0.2"/>
    <row r="109" spans="1:3" s="5" customFormat="1" ht="12.75" x14ac:dyDescent="0.2"/>
    <row r="110" spans="1:3" s="5" customFormat="1" ht="12.75" x14ac:dyDescent="0.2"/>
    <row r="111" spans="1:3" s="5" customFormat="1" ht="15" x14ac:dyDescent="0.25">
      <c r="A111"/>
      <c r="B111"/>
      <c r="C111"/>
    </row>
    <row r="112" spans="1:3" s="8" customFormat="1" ht="15" x14ac:dyDescent="0.25">
      <c r="A112"/>
      <c r="B112"/>
      <c r="C112"/>
    </row>
    <row r="113" spans="1:3" s="5" customFormat="1" ht="15" x14ac:dyDescent="0.25">
      <c r="A113"/>
      <c r="B113"/>
      <c r="C113"/>
    </row>
    <row r="114" spans="1:3" s="5" customFormat="1" ht="15" x14ac:dyDescent="0.25">
      <c r="A114"/>
      <c r="B114"/>
      <c r="C114"/>
    </row>
    <row r="115" spans="1:3" s="5" customFormat="1" ht="15" x14ac:dyDescent="0.25">
      <c r="A115"/>
      <c r="B115"/>
      <c r="C115"/>
    </row>
    <row r="116" spans="1:3" s="5" customFormat="1" ht="15" x14ac:dyDescent="0.25">
      <c r="A116"/>
      <c r="B116"/>
      <c r="C116"/>
    </row>
    <row r="117" spans="1:3" s="5" customFormat="1" ht="15" x14ac:dyDescent="0.25">
      <c r="A117"/>
      <c r="B117"/>
      <c r="C117"/>
    </row>
    <row r="118" spans="1:3" s="8" customFormat="1" ht="15" x14ac:dyDescent="0.25">
      <c r="A118"/>
      <c r="B118"/>
      <c r="C118"/>
    </row>
    <row r="119" spans="1:3" x14ac:dyDescent="0.3">
      <c r="A119"/>
      <c r="B119"/>
      <c r="C119"/>
    </row>
    <row r="120" spans="1:3" x14ac:dyDescent="0.3">
      <c r="A120"/>
      <c r="B120"/>
      <c r="C120"/>
    </row>
    <row r="121" spans="1:3" x14ac:dyDescent="0.3">
      <c r="B121" s="275"/>
      <c r="C121" s="275"/>
    </row>
    <row r="122" spans="1:3" x14ac:dyDescent="0.3">
      <c r="B122" s="2"/>
    </row>
    <row r="123" spans="1:3" x14ac:dyDescent="0.3">
      <c r="B123" s="275"/>
      <c r="C123" s="275"/>
    </row>
    <row r="124" spans="1:3" x14ac:dyDescent="0.3">
      <c r="B124" s="2"/>
    </row>
    <row r="125" spans="1:3" x14ac:dyDescent="0.3">
      <c r="B125" s="2"/>
    </row>
    <row r="126" spans="1:3" x14ac:dyDescent="0.3">
      <c r="B126" s="275"/>
      <c r="C126" s="275"/>
    </row>
    <row r="127" spans="1:3" x14ac:dyDescent="0.3">
      <c r="B127" s="2"/>
    </row>
  </sheetData>
  <sortState ref="B11:E61">
    <sortCondition descending="1" ref="E11:E61"/>
  </sortState>
  <mergeCells count="11">
    <mergeCell ref="B123:C123"/>
    <mergeCell ref="B126:C126"/>
    <mergeCell ref="C2:E2"/>
    <mergeCell ref="B9:E9"/>
    <mergeCell ref="C6:G6"/>
    <mergeCell ref="B5:G5"/>
    <mergeCell ref="B7:G8"/>
    <mergeCell ref="C64:F64"/>
    <mergeCell ref="B121:C121"/>
    <mergeCell ref="B78:C78"/>
    <mergeCell ref="B83:C83"/>
  </mergeCells>
  <printOptions horizontalCentered="1"/>
  <pageMargins left="0.15748031496062992" right="0.15748031496062992" top="0.55118110236220474" bottom="0.55118110236220474" header="0.31496062992125984" footer="0.31496062992125984"/>
  <pageSetup paperSize="9" orientation="portrait" r:id="rId1"/>
  <headerFooter>
    <oddFooter>&amp;LGSP MOH-CA / 7ème Année&amp;R&amp;P/&amp;N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H126"/>
  <sheetViews>
    <sheetView topLeftCell="A2" workbookViewId="0">
      <selection activeCell="G14" sqref="G14"/>
    </sheetView>
  </sheetViews>
  <sheetFormatPr baseColWidth="10" defaultRowHeight="15" x14ac:dyDescent="0.25"/>
  <cols>
    <col min="1" max="1" width="8.42578125" customWidth="1"/>
    <col min="2" max="2" width="30.85546875" customWidth="1"/>
  </cols>
  <sheetData>
    <row r="1" spans="1:8" ht="20.25" x14ac:dyDescent="0.3">
      <c r="A1" s="1" t="s">
        <v>1</v>
      </c>
      <c r="B1" s="6"/>
      <c r="C1" s="31" t="s">
        <v>5</v>
      </c>
      <c r="D1" s="31"/>
      <c r="E1" s="31"/>
      <c r="F1" s="2"/>
      <c r="G1" s="2"/>
      <c r="H1" s="2"/>
    </row>
    <row r="2" spans="1:8" ht="16.5" x14ac:dyDescent="0.3">
      <c r="A2" s="1" t="s">
        <v>2</v>
      </c>
      <c r="B2" s="6"/>
      <c r="C2" s="276" t="s">
        <v>6</v>
      </c>
      <c r="D2" s="276"/>
      <c r="E2" s="276"/>
      <c r="F2" s="2"/>
      <c r="G2" s="2"/>
      <c r="H2" s="2"/>
    </row>
    <row r="3" spans="1:8" ht="16.5" x14ac:dyDescent="0.3">
      <c r="A3" s="1" t="s">
        <v>3</v>
      </c>
      <c r="B3" s="6"/>
      <c r="C3" s="2"/>
      <c r="D3" s="2"/>
      <c r="E3" s="2"/>
      <c r="F3" s="2"/>
      <c r="G3" s="2"/>
      <c r="H3" s="2"/>
    </row>
    <row r="4" spans="1:8" ht="16.5" x14ac:dyDescent="0.3">
      <c r="A4" s="1" t="s">
        <v>4</v>
      </c>
      <c r="B4" s="6"/>
      <c r="C4" s="2"/>
      <c r="D4" s="3"/>
      <c r="E4" s="3"/>
      <c r="F4" s="2"/>
      <c r="G4" s="2"/>
      <c r="H4" s="2"/>
    </row>
    <row r="5" spans="1:8" ht="16.5" x14ac:dyDescent="0.3">
      <c r="A5" s="2"/>
      <c r="B5" s="279" t="s">
        <v>457</v>
      </c>
      <c r="C5" s="279"/>
      <c r="D5" s="279"/>
      <c r="E5" s="279"/>
      <c r="F5" s="279"/>
      <c r="G5" s="279"/>
      <c r="H5" s="2"/>
    </row>
    <row r="6" spans="1:8" ht="18" x14ac:dyDescent="0.3">
      <c r="A6" s="2"/>
      <c r="B6" s="4"/>
      <c r="C6" s="279" t="s">
        <v>207</v>
      </c>
      <c r="D6" s="279"/>
      <c r="E6" s="279"/>
      <c r="F6" s="279"/>
      <c r="G6" s="279"/>
      <c r="H6" s="2"/>
    </row>
    <row r="7" spans="1:8" ht="16.5" x14ac:dyDescent="0.3">
      <c r="A7" s="2"/>
      <c r="B7" s="280" t="s">
        <v>462</v>
      </c>
      <c r="C7" s="280"/>
      <c r="D7" s="280"/>
      <c r="E7" s="280"/>
      <c r="F7" s="280"/>
      <c r="G7" s="280"/>
      <c r="H7" s="2"/>
    </row>
    <row r="8" spans="1:8" ht="16.5" x14ac:dyDescent="0.3">
      <c r="A8" s="2"/>
      <c r="B8" s="280"/>
      <c r="C8" s="280"/>
      <c r="D8" s="280"/>
      <c r="E8" s="280"/>
      <c r="F8" s="280"/>
      <c r="G8" s="280"/>
      <c r="H8" s="2"/>
    </row>
    <row r="9" spans="1:8" ht="16.5" x14ac:dyDescent="0.3">
      <c r="A9" s="2"/>
      <c r="B9" s="277"/>
      <c r="C9" s="277"/>
      <c r="D9" s="277"/>
      <c r="E9" s="278"/>
      <c r="F9" s="2"/>
      <c r="G9" s="2"/>
      <c r="H9" s="2"/>
    </row>
    <row r="10" spans="1:8" ht="38.25" x14ac:dyDescent="0.25">
      <c r="A10" s="30" t="s">
        <v>106</v>
      </c>
      <c r="B10" s="35" t="s">
        <v>0</v>
      </c>
      <c r="C10" s="35" t="s">
        <v>208</v>
      </c>
      <c r="D10" s="35" t="s">
        <v>209</v>
      </c>
      <c r="E10" s="35" t="s">
        <v>445</v>
      </c>
      <c r="F10" s="8"/>
      <c r="G10" s="8"/>
      <c r="H10" s="8"/>
    </row>
    <row r="11" spans="1:8" ht="18" x14ac:dyDescent="0.3">
      <c r="A11" s="10" t="s">
        <v>317</v>
      </c>
      <c r="B11" s="10"/>
      <c r="C11" s="45"/>
      <c r="D11" s="45"/>
      <c r="E11" s="44">
        <f t="shared" ref="E11:E42" si="0">+(D11*2+C11)/3</f>
        <v>0</v>
      </c>
      <c r="F11" s="5"/>
      <c r="G11" s="5"/>
      <c r="H11" s="5"/>
    </row>
    <row r="12" spans="1:8" ht="18" x14ac:dyDescent="0.3">
      <c r="A12" s="10" t="s">
        <v>212</v>
      </c>
      <c r="B12" s="10"/>
      <c r="C12" s="45"/>
      <c r="D12" s="45"/>
      <c r="E12" s="44">
        <f t="shared" si="0"/>
        <v>0</v>
      </c>
      <c r="F12" s="5"/>
      <c r="G12" s="5"/>
      <c r="H12" s="5"/>
    </row>
    <row r="13" spans="1:8" ht="18" x14ac:dyDescent="0.3">
      <c r="A13" s="10" t="s">
        <v>213</v>
      </c>
      <c r="B13" s="10"/>
      <c r="C13" s="41"/>
      <c r="D13" s="45"/>
      <c r="E13" s="44">
        <f t="shared" si="0"/>
        <v>0</v>
      </c>
      <c r="F13" s="5"/>
      <c r="G13" s="5"/>
      <c r="H13" s="5"/>
    </row>
    <row r="14" spans="1:8" ht="18" x14ac:dyDescent="0.3">
      <c r="A14" s="10" t="s">
        <v>214</v>
      </c>
      <c r="B14" s="10"/>
      <c r="C14" s="45"/>
      <c r="D14" s="45"/>
      <c r="E14" s="44">
        <f t="shared" si="0"/>
        <v>0</v>
      </c>
      <c r="F14" s="5"/>
      <c r="G14" s="5"/>
      <c r="H14" s="5"/>
    </row>
    <row r="15" spans="1:8" ht="18" x14ac:dyDescent="0.3">
      <c r="A15" s="10" t="s">
        <v>215</v>
      </c>
      <c r="B15" s="10"/>
      <c r="C15" s="45"/>
      <c r="D15" s="45"/>
      <c r="E15" s="44">
        <f t="shared" si="0"/>
        <v>0</v>
      </c>
      <c r="F15" s="5"/>
      <c r="G15" s="5"/>
      <c r="H15" s="5"/>
    </row>
    <row r="16" spans="1:8" ht="18" x14ac:dyDescent="0.3">
      <c r="A16" s="10" t="s">
        <v>216</v>
      </c>
      <c r="B16" s="10"/>
      <c r="C16" s="45"/>
      <c r="D16" s="45"/>
      <c r="E16" s="44">
        <f t="shared" si="0"/>
        <v>0</v>
      </c>
      <c r="F16" s="5"/>
      <c r="G16" s="5"/>
      <c r="H16" s="5"/>
    </row>
    <row r="17" spans="1:8" ht="18" x14ac:dyDescent="0.3">
      <c r="A17" s="10" t="s">
        <v>217</v>
      </c>
      <c r="B17" s="10"/>
      <c r="C17" s="45"/>
      <c r="D17" s="45"/>
      <c r="E17" s="44">
        <f t="shared" si="0"/>
        <v>0</v>
      </c>
      <c r="F17" s="11"/>
      <c r="G17" s="11"/>
      <c r="H17" s="11"/>
    </row>
    <row r="18" spans="1:8" ht="18" x14ac:dyDescent="0.3">
      <c r="A18" s="10" t="s">
        <v>218</v>
      </c>
      <c r="B18" s="10"/>
      <c r="C18" s="45"/>
      <c r="D18" s="45"/>
      <c r="E18" s="44">
        <f t="shared" si="0"/>
        <v>0</v>
      </c>
      <c r="F18" s="11"/>
      <c r="G18" s="11"/>
      <c r="H18" s="11"/>
    </row>
    <row r="19" spans="1:8" ht="18" x14ac:dyDescent="0.3">
      <c r="A19" s="10" t="s">
        <v>219</v>
      </c>
      <c r="B19" s="10"/>
      <c r="C19" s="45"/>
      <c r="D19" s="45"/>
      <c r="E19" s="44">
        <f t="shared" si="0"/>
        <v>0</v>
      </c>
      <c r="F19" s="5"/>
      <c r="G19" s="5"/>
      <c r="H19" s="5"/>
    </row>
    <row r="20" spans="1:8" ht="18" x14ac:dyDescent="0.3">
      <c r="A20" s="10" t="s">
        <v>220</v>
      </c>
      <c r="B20" s="10"/>
      <c r="C20" s="41"/>
      <c r="D20" s="41"/>
      <c r="E20" s="37">
        <f t="shared" si="0"/>
        <v>0</v>
      </c>
      <c r="F20" s="5"/>
      <c r="G20" s="5"/>
      <c r="H20" s="5"/>
    </row>
    <row r="21" spans="1:8" ht="18" x14ac:dyDescent="0.3">
      <c r="A21" s="10" t="s">
        <v>221</v>
      </c>
      <c r="B21" s="10"/>
      <c r="C21" s="41"/>
      <c r="D21" s="45"/>
      <c r="E21" s="44">
        <f t="shared" si="0"/>
        <v>0</v>
      </c>
      <c r="F21" s="5"/>
      <c r="G21" s="5"/>
      <c r="H21" s="5"/>
    </row>
    <row r="22" spans="1:8" ht="18" x14ac:dyDescent="0.3">
      <c r="A22" s="10" t="s">
        <v>222</v>
      </c>
      <c r="B22" s="10"/>
      <c r="C22" s="45"/>
      <c r="D22" s="45"/>
      <c r="E22" s="44">
        <f t="shared" si="0"/>
        <v>0</v>
      </c>
      <c r="F22" s="11"/>
      <c r="G22" s="11"/>
      <c r="H22" s="11"/>
    </row>
    <row r="23" spans="1:8" ht="18" x14ac:dyDescent="0.3">
      <c r="A23" s="10" t="s">
        <v>223</v>
      </c>
      <c r="B23" s="10"/>
      <c r="C23" s="45"/>
      <c r="D23" s="45"/>
      <c r="E23" s="44">
        <f t="shared" si="0"/>
        <v>0</v>
      </c>
      <c r="F23" s="5"/>
      <c r="G23" s="5"/>
      <c r="H23" s="5"/>
    </row>
    <row r="24" spans="1:8" ht="18" x14ac:dyDescent="0.3">
      <c r="A24" s="10" t="s">
        <v>224</v>
      </c>
      <c r="B24" s="10"/>
      <c r="C24" s="45"/>
      <c r="D24" s="45"/>
      <c r="E24" s="44">
        <f t="shared" si="0"/>
        <v>0</v>
      </c>
      <c r="F24" s="5"/>
      <c r="G24" s="5"/>
      <c r="H24" s="5"/>
    </row>
    <row r="25" spans="1:8" ht="18" x14ac:dyDescent="0.3">
      <c r="A25" s="10" t="s">
        <v>226</v>
      </c>
      <c r="B25" s="10"/>
      <c r="C25" s="45"/>
      <c r="D25" s="45"/>
      <c r="E25" s="44">
        <f t="shared" si="0"/>
        <v>0</v>
      </c>
      <c r="F25" s="5"/>
      <c r="G25" s="5"/>
      <c r="H25" s="5"/>
    </row>
    <row r="26" spans="1:8" ht="18" x14ac:dyDescent="0.3">
      <c r="A26" s="10" t="s">
        <v>225</v>
      </c>
      <c r="B26" s="10"/>
      <c r="C26" s="45"/>
      <c r="D26" s="45"/>
      <c r="E26" s="44">
        <f t="shared" si="0"/>
        <v>0</v>
      </c>
      <c r="F26" s="5"/>
      <c r="G26" s="5"/>
      <c r="H26" s="5"/>
    </row>
    <row r="27" spans="1:8" ht="18" x14ac:dyDescent="0.3">
      <c r="A27" s="10" t="s">
        <v>227</v>
      </c>
      <c r="B27" s="10"/>
      <c r="C27" s="45"/>
      <c r="D27" s="45"/>
      <c r="E27" s="44">
        <f t="shared" si="0"/>
        <v>0</v>
      </c>
      <c r="F27" s="5"/>
      <c r="G27" s="5"/>
      <c r="H27" s="5"/>
    </row>
    <row r="28" spans="1:8" ht="18" x14ac:dyDescent="0.3">
      <c r="A28" s="10" t="s">
        <v>228</v>
      </c>
      <c r="B28" s="10"/>
      <c r="C28" s="41"/>
      <c r="D28" s="45"/>
      <c r="E28" s="44">
        <f t="shared" si="0"/>
        <v>0</v>
      </c>
      <c r="F28" s="5"/>
      <c r="G28" s="5"/>
      <c r="H28" s="5"/>
    </row>
    <row r="29" spans="1:8" ht="18" x14ac:dyDescent="0.3">
      <c r="A29" s="10" t="s">
        <v>229</v>
      </c>
      <c r="B29" s="10"/>
      <c r="C29" s="66"/>
      <c r="D29" s="45"/>
      <c r="E29" s="44">
        <f t="shared" si="0"/>
        <v>0</v>
      </c>
      <c r="F29" s="5"/>
      <c r="G29" s="5"/>
      <c r="H29" s="5"/>
    </row>
    <row r="30" spans="1:8" ht="18" x14ac:dyDescent="0.3">
      <c r="A30" s="10" t="s">
        <v>230</v>
      </c>
      <c r="B30" s="10"/>
      <c r="C30" s="45"/>
      <c r="D30" s="45"/>
      <c r="E30" s="44">
        <f t="shared" si="0"/>
        <v>0</v>
      </c>
      <c r="F30" s="5"/>
      <c r="G30" s="5"/>
      <c r="H30" s="5"/>
    </row>
    <row r="31" spans="1:8" ht="18" x14ac:dyDescent="0.3">
      <c r="A31" s="10" t="s">
        <v>315</v>
      </c>
      <c r="B31" s="10"/>
      <c r="C31" s="45"/>
      <c r="D31" s="45"/>
      <c r="E31" s="44">
        <f t="shared" si="0"/>
        <v>0</v>
      </c>
      <c r="F31" s="5"/>
      <c r="G31" s="5"/>
      <c r="H31" s="5"/>
    </row>
    <row r="32" spans="1:8" ht="18" x14ac:dyDescent="0.3">
      <c r="A32" s="10" t="s">
        <v>232</v>
      </c>
      <c r="B32" s="10"/>
      <c r="C32" s="41"/>
      <c r="D32" s="45"/>
      <c r="E32" s="44">
        <f t="shared" si="0"/>
        <v>0</v>
      </c>
      <c r="F32" s="5"/>
      <c r="G32" s="5"/>
      <c r="H32" s="5"/>
    </row>
    <row r="33" spans="1:8" ht="18" x14ac:dyDescent="0.3">
      <c r="A33" s="10" t="s">
        <v>233</v>
      </c>
      <c r="B33" s="10"/>
      <c r="C33" s="45"/>
      <c r="D33" s="45"/>
      <c r="E33" s="44">
        <f t="shared" si="0"/>
        <v>0</v>
      </c>
      <c r="F33" s="13"/>
      <c r="G33" s="13"/>
      <c r="H33" s="13"/>
    </row>
    <row r="34" spans="1:8" ht="18" x14ac:dyDescent="0.3">
      <c r="A34" s="10" t="s">
        <v>234</v>
      </c>
      <c r="B34" s="10"/>
      <c r="C34" s="45"/>
      <c r="D34" s="45"/>
      <c r="E34" s="44">
        <f t="shared" si="0"/>
        <v>0</v>
      </c>
      <c r="F34" s="5"/>
      <c r="G34" s="5"/>
      <c r="H34" s="5"/>
    </row>
    <row r="35" spans="1:8" ht="18" x14ac:dyDescent="0.3">
      <c r="A35" s="10" t="s">
        <v>235</v>
      </c>
      <c r="B35" s="10"/>
      <c r="C35" s="45"/>
      <c r="D35" s="45"/>
      <c r="E35" s="44">
        <f t="shared" si="0"/>
        <v>0</v>
      </c>
      <c r="F35" s="5"/>
      <c r="G35" s="5"/>
      <c r="H35" s="5"/>
    </row>
    <row r="36" spans="1:8" ht="18" x14ac:dyDescent="0.3">
      <c r="A36" s="10" t="s">
        <v>236</v>
      </c>
      <c r="B36" s="10"/>
      <c r="C36" s="45"/>
      <c r="D36" s="45"/>
      <c r="E36" s="44">
        <f t="shared" si="0"/>
        <v>0</v>
      </c>
      <c r="F36" s="5"/>
      <c r="G36" s="5"/>
      <c r="H36" s="5"/>
    </row>
    <row r="37" spans="1:8" ht="18" x14ac:dyDescent="0.3">
      <c r="A37" s="10" t="s">
        <v>237</v>
      </c>
      <c r="B37" s="10"/>
      <c r="C37" s="41"/>
      <c r="D37" s="45"/>
      <c r="E37" s="44">
        <f t="shared" si="0"/>
        <v>0</v>
      </c>
      <c r="F37" s="5"/>
      <c r="G37" s="5"/>
      <c r="H37" s="5"/>
    </row>
    <row r="38" spans="1:8" ht="18" x14ac:dyDescent="0.3">
      <c r="A38" s="10" t="s">
        <v>238</v>
      </c>
      <c r="B38" s="10"/>
      <c r="C38" s="45"/>
      <c r="D38" s="45"/>
      <c r="E38" s="44">
        <f t="shared" si="0"/>
        <v>0</v>
      </c>
      <c r="F38" s="5"/>
      <c r="G38" s="5"/>
      <c r="H38" s="5"/>
    </row>
    <row r="39" spans="1:8" ht="18" x14ac:dyDescent="0.3">
      <c r="A39" s="10" t="s">
        <v>239</v>
      </c>
      <c r="B39" s="10"/>
      <c r="C39" s="45"/>
      <c r="D39" s="45"/>
      <c r="E39" s="44">
        <f t="shared" si="0"/>
        <v>0</v>
      </c>
      <c r="F39" s="5"/>
      <c r="G39" s="5"/>
      <c r="H39" s="5"/>
    </row>
    <row r="40" spans="1:8" ht="18" x14ac:dyDescent="0.3">
      <c r="A40" s="10" t="s">
        <v>240</v>
      </c>
      <c r="B40" s="10"/>
      <c r="C40" s="45"/>
      <c r="D40" s="45"/>
      <c r="E40" s="44">
        <f t="shared" si="0"/>
        <v>0</v>
      </c>
      <c r="F40" s="5"/>
      <c r="G40" s="5"/>
      <c r="H40" s="5"/>
    </row>
    <row r="41" spans="1:8" ht="18" x14ac:dyDescent="0.3">
      <c r="A41" s="10" t="s">
        <v>314</v>
      </c>
      <c r="B41" s="10"/>
      <c r="C41" s="45"/>
      <c r="D41" s="45"/>
      <c r="E41" s="44">
        <f t="shared" si="0"/>
        <v>0</v>
      </c>
      <c r="F41" s="5"/>
      <c r="G41" s="5"/>
      <c r="H41" s="5"/>
    </row>
    <row r="42" spans="1:8" ht="18" x14ac:dyDescent="0.3">
      <c r="A42" s="10" t="s">
        <v>242</v>
      </c>
      <c r="B42" s="10"/>
      <c r="C42" s="45"/>
      <c r="D42" s="45"/>
      <c r="E42" s="44">
        <f t="shared" si="0"/>
        <v>0</v>
      </c>
      <c r="F42" s="5"/>
      <c r="G42" s="5"/>
      <c r="H42" s="5"/>
    </row>
    <row r="43" spans="1:8" ht="18" x14ac:dyDescent="0.3">
      <c r="A43" s="10" t="s">
        <v>243</v>
      </c>
      <c r="B43" s="10"/>
      <c r="C43" s="41"/>
      <c r="D43" s="41"/>
      <c r="E43" s="44">
        <f t="shared" ref="E43:E74" si="1">+(D43*2+C43)/3</f>
        <v>0</v>
      </c>
      <c r="F43" s="5"/>
      <c r="G43" s="5"/>
      <c r="H43" s="5"/>
    </row>
    <row r="44" spans="1:8" ht="18" x14ac:dyDescent="0.3">
      <c r="A44" s="10" t="s">
        <v>244</v>
      </c>
      <c r="B44" s="10"/>
      <c r="C44" s="187"/>
      <c r="D44" s="45"/>
      <c r="E44" s="44">
        <f t="shared" si="1"/>
        <v>0</v>
      </c>
      <c r="F44" s="5"/>
      <c r="G44" s="5"/>
      <c r="H44" s="5"/>
    </row>
    <row r="45" spans="1:8" ht="18" x14ac:dyDescent="0.3">
      <c r="A45" s="10" t="s">
        <v>245</v>
      </c>
      <c r="B45" s="10"/>
      <c r="C45" s="45"/>
      <c r="D45" s="45"/>
      <c r="E45" s="44">
        <f t="shared" si="1"/>
        <v>0</v>
      </c>
      <c r="F45" s="5"/>
      <c r="G45" s="5"/>
      <c r="H45" s="5"/>
    </row>
    <row r="46" spans="1:8" ht="18" x14ac:dyDescent="0.3">
      <c r="A46" s="10" t="s">
        <v>246</v>
      </c>
      <c r="B46" s="10"/>
      <c r="C46" s="45"/>
      <c r="D46" s="45"/>
      <c r="E46" s="44">
        <f t="shared" si="1"/>
        <v>0</v>
      </c>
      <c r="F46" s="5"/>
      <c r="G46" s="5"/>
      <c r="H46" s="5"/>
    </row>
    <row r="47" spans="1:8" ht="18" x14ac:dyDescent="0.3">
      <c r="A47" s="10" t="s">
        <v>247</v>
      </c>
      <c r="B47" s="10"/>
      <c r="C47" s="45"/>
      <c r="D47" s="45"/>
      <c r="E47" s="44">
        <f t="shared" si="1"/>
        <v>0</v>
      </c>
      <c r="F47" s="13"/>
      <c r="G47" s="13"/>
      <c r="H47" s="13"/>
    </row>
    <row r="48" spans="1:8" ht="18" x14ac:dyDescent="0.3">
      <c r="A48" s="10" t="s">
        <v>248</v>
      </c>
      <c r="B48" s="10"/>
      <c r="C48" s="45"/>
      <c r="D48" s="45"/>
      <c r="E48" s="44">
        <f t="shared" si="1"/>
        <v>0</v>
      </c>
      <c r="F48" s="5"/>
      <c r="G48" s="5"/>
      <c r="H48" s="5"/>
    </row>
    <row r="49" spans="1:8" ht="18" x14ac:dyDescent="0.3">
      <c r="A49" s="10" t="s">
        <v>463</v>
      </c>
      <c r="B49" s="10"/>
      <c r="C49" s="45"/>
      <c r="D49" s="45"/>
      <c r="E49" s="44">
        <f t="shared" si="1"/>
        <v>0</v>
      </c>
      <c r="F49" s="5"/>
      <c r="G49" s="5"/>
      <c r="H49" s="5"/>
    </row>
    <row r="50" spans="1:8" ht="18" x14ac:dyDescent="0.3">
      <c r="A50" s="10" t="s">
        <v>250</v>
      </c>
      <c r="B50" s="10"/>
      <c r="C50" s="45"/>
      <c r="D50" s="45"/>
      <c r="E50" s="44">
        <f t="shared" si="1"/>
        <v>0</v>
      </c>
      <c r="F50" s="5"/>
      <c r="G50" s="5"/>
      <c r="H50" s="5"/>
    </row>
    <row r="51" spans="1:8" ht="18" x14ac:dyDescent="0.3">
      <c r="A51" s="10" t="s">
        <v>313</v>
      </c>
      <c r="B51" s="10"/>
      <c r="C51" s="45"/>
      <c r="D51" s="45"/>
      <c r="E51" s="44">
        <f t="shared" si="1"/>
        <v>0</v>
      </c>
      <c r="F51" s="5"/>
      <c r="G51" s="5"/>
      <c r="H51" s="5"/>
    </row>
    <row r="52" spans="1:8" ht="18" x14ac:dyDescent="0.3">
      <c r="A52" s="10" t="s">
        <v>252</v>
      </c>
      <c r="B52" s="10"/>
      <c r="C52" s="45"/>
      <c r="D52" s="45"/>
      <c r="E52" s="44">
        <f t="shared" si="1"/>
        <v>0</v>
      </c>
      <c r="F52" s="5"/>
      <c r="G52" s="5"/>
      <c r="H52" s="5"/>
    </row>
    <row r="53" spans="1:8" ht="18" x14ac:dyDescent="0.3">
      <c r="A53" s="10" t="s">
        <v>253</v>
      </c>
      <c r="B53" s="10"/>
      <c r="C53" s="45"/>
      <c r="D53" s="45"/>
      <c r="E53" s="44">
        <f t="shared" si="1"/>
        <v>0</v>
      </c>
      <c r="F53" s="5"/>
      <c r="G53" s="5"/>
      <c r="H53" s="5"/>
    </row>
    <row r="54" spans="1:8" ht="18" x14ac:dyDescent="0.3">
      <c r="A54" s="10" t="s">
        <v>254</v>
      </c>
      <c r="B54" s="10"/>
      <c r="C54" s="45"/>
      <c r="D54" s="45"/>
      <c r="E54" s="44">
        <f t="shared" si="1"/>
        <v>0</v>
      </c>
      <c r="F54" s="5"/>
      <c r="G54" s="5"/>
      <c r="H54" s="5"/>
    </row>
    <row r="55" spans="1:8" ht="18" x14ac:dyDescent="0.3">
      <c r="A55" s="10" t="s">
        <v>255</v>
      </c>
      <c r="B55" s="10"/>
      <c r="C55" s="45"/>
      <c r="D55" s="45"/>
      <c r="E55" s="44">
        <f t="shared" si="1"/>
        <v>0</v>
      </c>
      <c r="F55" s="5"/>
      <c r="G55" s="5"/>
      <c r="H55" s="5"/>
    </row>
    <row r="56" spans="1:8" ht="18" x14ac:dyDescent="0.3">
      <c r="A56" s="10" t="s">
        <v>256</v>
      </c>
      <c r="B56" s="10"/>
      <c r="C56" s="45"/>
      <c r="D56" s="45"/>
      <c r="E56" s="44">
        <f t="shared" si="1"/>
        <v>0</v>
      </c>
      <c r="F56" s="5"/>
      <c r="G56" s="5"/>
      <c r="H56" s="5"/>
    </row>
    <row r="57" spans="1:8" ht="18" x14ac:dyDescent="0.3">
      <c r="A57" s="10" t="s">
        <v>257</v>
      </c>
      <c r="B57" s="10"/>
      <c r="C57" s="45"/>
      <c r="D57" s="45"/>
      <c r="E57" s="44">
        <f t="shared" si="1"/>
        <v>0</v>
      </c>
      <c r="F57" s="5"/>
      <c r="G57" s="5"/>
      <c r="H57" s="5"/>
    </row>
    <row r="58" spans="1:8" ht="18" x14ac:dyDescent="0.3">
      <c r="A58" s="10" t="s">
        <v>258</v>
      </c>
      <c r="B58" s="10"/>
      <c r="C58" s="45"/>
      <c r="D58" s="45"/>
      <c r="E58" s="44">
        <f t="shared" si="1"/>
        <v>0</v>
      </c>
      <c r="F58" s="11"/>
      <c r="G58" s="11"/>
      <c r="H58" s="11"/>
    </row>
    <row r="59" spans="1:8" ht="18" x14ac:dyDescent="0.3">
      <c r="A59" s="10" t="s">
        <v>259</v>
      </c>
      <c r="B59" s="10"/>
      <c r="C59" s="45"/>
      <c r="D59" s="45"/>
      <c r="E59" s="44">
        <f t="shared" si="1"/>
        <v>0</v>
      </c>
      <c r="F59" s="5"/>
      <c r="G59" s="5"/>
      <c r="H59" s="5"/>
    </row>
    <row r="60" spans="1:8" ht="18" x14ac:dyDescent="0.3">
      <c r="A60" s="10" t="s">
        <v>260</v>
      </c>
      <c r="B60" s="10"/>
      <c r="C60" s="45"/>
      <c r="D60" s="45"/>
      <c r="E60" s="44">
        <f t="shared" si="1"/>
        <v>0</v>
      </c>
      <c r="F60" s="5"/>
      <c r="G60" s="5"/>
      <c r="H60" s="5"/>
    </row>
    <row r="61" spans="1:8" ht="18" x14ac:dyDescent="0.3">
      <c r="A61" s="10" t="s">
        <v>312</v>
      </c>
      <c r="B61" s="10"/>
      <c r="C61" s="45"/>
      <c r="D61" s="45"/>
      <c r="E61" s="44">
        <f t="shared" si="1"/>
        <v>0</v>
      </c>
      <c r="F61" s="5"/>
      <c r="G61" s="188"/>
      <c r="H61" s="5"/>
    </row>
    <row r="62" spans="1:8" ht="18" x14ac:dyDescent="0.3">
      <c r="A62" s="10" t="s">
        <v>262</v>
      </c>
      <c r="B62" s="10"/>
      <c r="C62" s="45"/>
      <c r="D62" s="45"/>
      <c r="E62" s="44">
        <f t="shared" si="1"/>
        <v>0</v>
      </c>
      <c r="F62" s="5"/>
      <c r="G62" s="188"/>
      <c r="H62" s="5"/>
    </row>
    <row r="63" spans="1:8" ht="18" x14ac:dyDescent="0.3">
      <c r="A63" s="10" t="s">
        <v>263</v>
      </c>
      <c r="B63" s="10"/>
      <c r="C63" s="45"/>
      <c r="D63" s="45"/>
      <c r="E63" s="44">
        <f t="shared" si="1"/>
        <v>0</v>
      </c>
      <c r="F63" s="5"/>
      <c r="G63" s="5"/>
      <c r="H63" s="5"/>
    </row>
    <row r="64" spans="1:8" ht="18" x14ac:dyDescent="0.3">
      <c r="A64" s="10" t="s">
        <v>264</v>
      </c>
      <c r="B64" s="10"/>
      <c r="C64" s="45"/>
      <c r="D64" s="45"/>
      <c r="E64" s="44">
        <f t="shared" si="1"/>
        <v>0</v>
      </c>
      <c r="F64" s="5"/>
      <c r="G64" s="5"/>
      <c r="H64" s="5"/>
    </row>
    <row r="65" spans="1:8" ht="18" x14ac:dyDescent="0.3">
      <c r="A65" s="10" t="s">
        <v>265</v>
      </c>
      <c r="B65" s="10"/>
      <c r="C65" s="45"/>
      <c r="D65" s="45"/>
      <c r="E65" s="44">
        <f t="shared" si="1"/>
        <v>0</v>
      </c>
      <c r="F65" s="5"/>
      <c r="G65" s="5"/>
      <c r="H65" s="5"/>
    </row>
    <row r="66" spans="1:8" ht="18" x14ac:dyDescent="0.3">
      <c r="A66" s="10" t="s">
        <v>266</v>
      </c>
      <c r="B66" s="10"/>
      <c r="C66" s="45"/>
      <c r="D66" s="45"/>
      <c r="E66" s="44">
        <f t="shared" si="1"/>
        <v>0</v>
      </c>
      <c r="F66" s="5"/>
      <c r="G66" s="5"/>
      <c r="H66" s="5"/>
    </row>
    <row r="67" spans="1:8" ht="18" x14ac:dyDescent="0.3">
      <c r="A67" s="10" t="s">
        <v>267</v>
      </c>
      <c r="B67" s="10"/>
      <c r="C67" s="45"/>
      <c r="D67" s="45"/>
      <c r="E67" s="44">
        <f t="shared" si="1"/>
        <v>0</v>
      </c>
      <c r="F67" s="5"/>
      <c r="G67" s="5"/>
      <c r="H67" s="5"/>
    </row>
    <row r="68" spans="1:8" ht="18" x14ac:dyDescent="0.3">
      <c r="A68" s="10" t="s">
        <v>268</v>
      </c>
      <c r="B68" s="10"/>
      <c r="C68" s="45"/>
      <c r="D68" s="45"/>
      <c r="E68" s="44">
        <f t="shared" si="1"/>
        <v>0</v>
      </c>
      <c r="F68" s="5"/>
      <c r="G68" s="5"/>
      <c r="H68" s="5"/>
    </row>
    <row r="69" spans="1:8" ht="18" x14ac:dyDescent="0.3">
      <c r="A69" s="10" t="s">
        <v>269</v>
      </c>
      <c r="B69" s="10"/>
      <c r="C69" s="45"/>
      <c r="D69" s="45"/>
      <c r="E69" s="44">
        <f t="shared" si="1"/>
        <v>0</v>
      </c>
      <c r="F69" s="5"/>
      <c r="G69" s="5"/>
      <c r="H69" s="5"/>
    </row>
    <row r="70" spans="1:8" ht="18" x14ac:dyDescent="0.3">
      <c r="A70" s="10" t="s">
        <v>270</v>
      </c>
      <c r="B70" s="10"/>
      <c r="C70" s="45"/>
      <c r="D70" s="45"/>
      <c r="E70" s="44">
        <f t="shared" si="1"/>
        <v>0</v>
      </c>
      <c r="F70" s="5"/>
      <c r="G70" s="5"/>
      <c r="H70" s="5"/>
    </row>
    <row r="71" spans="1:8" ht="18" x14ac:dyDescent="0.3">
      <c r="A71" s="10" t="s">
        <v>311</v>
      </c>
      <c r="B71" s="10"/>
      <c r="C71" s="45"/>
      <c r="D71" s="45"/>
      <c r="E71" s="44">
        <f t="shared" si="1"/>
        <v>0</v>
      </c>
      <c r="F71" s="5"/>
      <c r="G71" s="5"/>
      <c r="H71" s="5"/>
    </row>
    <row r="72" spans="1:8" ht="18" x14ac:dyDescent="0.3">
      <c r="A72" s="10" t="s">
        <v>272</v>
      </c>
      <c r="B72" s="10"/>
      <c r="C72" s="45"/>
      <c r="D72" s="45"/>
      <c r="E72" s="44">
        <f t="shared" si="1"/>
        <v>0</v>
      </c>
      <c r="F72" s="5"/>
      <c r="G72" s="5"/>
      <c r="H72" s="5"/>
    </row>
    <row r="73" spans="1:8" ht="18" x14ac:dyDescent="0.3">
      <c r="A73" s="10" t="s">
        <v>273</v>
      </c>
      <c r="B73" s="10"/>
      <c r="C73" s="45"/>
      <c r="D73" s="45"/>
      <c r="E73" s="32">
        <f t="shared" si="1"/>
        <v>0</v>
      </c>
      <c r="F73" s="5"/>
      <c r="G73" s="5"/>
      <c r="H73" s="5"/>
    </row>
    <row r="74" spans="1:8" ht="18" x14ac:dyDescent="0.3">
      <c r="A74" s="10" t="s">
        <v>274</v>
      </c>
      <c r="B74" s="10"/>
      <c r="C74" s="45"/>
      <c r="D74" s="45"/>
      <c r="E74" s="44">
        <f t="shared" si="1"/>
        <v>0</v>
      </c>
      <c r="F74" s="5"/>
      <c r="G74" s="5"/>
      <c r="H74" s="5"/>
    </row>
    <row r="75" spans="1:8" ht="18" x14ac:dyDescent="0.3">
      <c r="A75" s="10" t="s">
        <v>275</v>
      </c>
      <c r="B75" s="10"/>
      <c r="C75" s="41"/>
      <c r="D75" s="45"/>
      <c r="E75" s="44">
        <f t="shared" ref="E75:E106" si="2">+(D75*2+C75)/3</f>
        <v>0</v>
      </c>
      <c r="F75" s="5"/>
      <c r="G75" s="5"/>
      <c r="H75" s="5"/>
    </row>
    <row r="76" spans="1:8" ht="18" x14ac:dyDescent="0.3">
      <c r="A76" s="10" t="s">
        <v>276</v>
      </c>
      <c r="B76" s="10"/>
      <c r="C76" s="45"/>
      <c r="D76" s="45"/>
      <c r="E76" s="44">
        <f t="shared" si="2"/>
        <v>0</v>
      </c>
      <c r="F76" s="5"/>
      <c r="G76" s="5"/>
      <c r="H76" s="5"/>
    </row>
    <row r="77" spans="1:8" ht="18" x14ac:dyDescent="0.3">
      <c r="A77" s="10" t="s">
        <v>277</v>
      </c>
      <c r="B77" s="18"/>
      <c r="C77" s="32"/>
      <c r="D77" s="32"/>
      <c r="E77" s="32">
        <f t="shared" si="2"/>
        <v>0</v>
      </c>
      <c r="F77" s="5"/>
      <c r="G77" s="5"/>
      <c r="H77" s="5"/>
    </row>
    <row r="78" spans="1:8" ht="18" x14ac:dyDescent="0.3">
      <c r="A78" s="10" t="s">
        <v>278</v>
      </c>
      <c r="B78" s="10"/>
      <c r="C78" s="45"/>
      <c r="D78" s="45"/>
      <c r="E78" s="44">
        <f t="shared" si="2"/>
        <v>0</v>
      </c>
      <c r="F78" s="5"/>
      <c r="G78" s="5"/>
      <c r="H78" s="5"/>
    </row>
    <row r="79" spans="1:8" ht="18" x14ac:dyDescent="0.3">
      <c r="A79" s="10" t="s">
        <v>279</v>
      </c>
      <c r="B79" s="10"/>
      <c r="C79" s="39"/>
      <c r="D79" s="45"/>
      <c r="E79" s="44">
        <f t="shared" si="2"/>
        <v>0</v>
      </c>
      <c r="F79" s="5"/>
      <c r="G79" s="5"/>
      <c r="H79" s="5"/>
    </row>
    <row r="80" spans="1:8" ht="18" x14ac:dyDescent="0.3">
      <c r="A80" s="10" t="s">
        <v>280</v>
      </c>
      <c r="B80" s="10"/>
      <c r="C80" s="45"/>
      <c r="D80" s="45"/>
      <c r="E80" s="44">
        <f t="shared" si="2"/>
        <v>0</v>
      </c>
      <c r="F80" s="5"/>
      <c r="G80" s="5"/>
      <c r="H80" s="5"/>
    </row>
    <row r="81" spans="1:8" ht="18" x14ac:dyDescent="0.3">
      <c r="A81" s="10" t="s">
        <v>316</v>
      </c>
      <c r="B81" s="10"/>
      <c r="C81" s="45"/>
      <c r="D81" s="45"/>
      <c r="E81" s="44">
        <f t="shared" si="2"/>
        <v>0</v>
      </c>
      <c r="F81" s="5"/>
      <c r="G81" s="5"/>
      <c r="H81" s="5"/>
    </row>
    <row r="82" spans="1:8" ht="18" x14ac:dyDescent="0.3">
      <c r="A82" s="10" t="s">
        <v>282</v>
      </c>
      <c r="B82" s="10"/>
      <c r="C82" s="45"/>
      <c r="D82" s="45"/>
      <c r="E82" s="44">
        <f t="shared" si="2"/>
        <v>0</v>
      </c>
      <c r="F82" s="5"/>
      <c r="G82" s="5"/>
      <c r="H82" s="5"/>
    </row>
    <row r="83" spans="1:8" ht="18" x14ac:dyDescent="0.3">
      <c r="A83" s="10" t="s">
        <v>283</v>
      </c>
      <c r="B83" s="10"/>
      <c r="C83" s="45"/>
      <c r="D83" s="45"/>
      <c r="E83" s="44">
        <f t="shared" si="2"/>
        <v>0</v>
      </c>
      <c r="F83" s="5"/>
      <c r="G83" s="5"/>
      <c r="H83" s="5"/>
    </row>
    <row r="84" spans="1:8" ht="18" x14ac:dyDescent="0.3">
      <c r="A84" s="10" t="s">
        <v>284</v>
      </c>
      <c r="B84" s="10"/>
      <c r="C84" s="45"/>
      <c r="D84" s="45"/>
      <c r="E84" s="44">
        <f t="shared" si="2"/>
        <v>0</v>
      </c>
      <c r="F84" s="5"/>
      <c r="G84" s="5"/>
      <c r="H84" s="5"/>
    </row>
    <row r="85" spans="1:8" ht="18" x14ac:dyDescent="0.3">
      <c r="A85" s="10" t="s">
        <v>285</v>
      </c>
      <c r="B85" s="10"/>
      <c r="C85" s="39"/>
      <c r="D85" s="45"/>
      <c r="E85" s="44">
        <f t="shared" si="2"/>
        <v>0</v>
      </c>
      <c r="F85" s="5"/>
      <c r="G85" s="5"/>
      <c r="H85" s="5"/>
    </row>
    <row r="86" spans="1:8" ht="18" x14ac:dyDescent="0.3">
      <c r="A86" s="10" t="s">
        <v>286</v>
      </c>
      <c r="B86" s="10"/>
      <c r="C86" s="45"/>
      <c r="D86" s="45"/>
      <c r="E86" s="44">
        <f t="shared" si="2"/>
        <v>0</v>
      </c>
      <c r="F86" s="5"/>
      <c r="G86" s="5"/>
      <c r="H86" s="5"/>
    </row>
    <row r="87" spans="1:8" ht="18" x14ac:dyDescent="0.3">
      <c r="A87" s="10" t="s">
        <v>287</v>
      </c>
      <c r="B87" s="10"/>
      <c r="C87" s="45"/>
      <c r="D87" s="45"/>
      <c r="E87" s="44">
        <f t="shared" si="2"/>
        <v>0</v>
      </c>
      <c r="F87" s="5"/>
      <c r="G87" s="5"/>
      <c r="H87" s="5"/>
    </row>
    <row r="88" spans="1:8" ht="18" x14ac:dyDescent="0.3">
      <c r="A88" s="10" t="s">
        <v>288</v>
      </c>
      <c r="B88" s="10"/>
      <c r="C88" s="45"/>
      <c r="D88" s="45"/>
      <c r="E88" s="44">
        <f t="shared" si="2"/>
        <v>0</v>
      </c>
      <c r="F88" s="5"/>
      <c r="G88" s="5"/>
      <c r="H88" s="5"/>
    </row>
    <row r="89" spans="1:8" ht="18" x14ac:dyDescent="0.3">
      <c r="A89" s="10" t="s">
        <v>289</v>
      </c>
      <c r="B89" s="10"/>
      <c r="C89" s="45"/>
      <c r="D89" s="45"/>
      <c r="E89" s="44">
        <f t="shared" si="2"/>
        <v>0</v>
      </c>
      <c r="F89" s="5"/>
      <c r="G89" s="5"/>
      <c r="H89" s="5"/>
    </row>
    <row r="90" spans="1:8" ht="18" x14ac:dyDescent="0.3">
      <c r="A90" s="10" t="s">
        <v>290</v>
      </c>
      <c r="B90" s="10"/>
      <c r="C90" s="45"/>
      <c r="D90" s="45"/>
      <c r="E90" s="44">
        <f t="shared" si="2"/>
        <v>0</v>
      </c>
      <c r="F90" s="5"/>
      <c r="G90" s="5"/>
      <c r="H90" s="5"/>
    </row>
    <row r="91" spans="1:8" ht="18" x14ac:dyDescent="0.3">
      <c r="A91" s="10" t="s">
        <v>291</v>
      </c>
      <c r="B91" s="10"/>
      <c r="C91" s="45"/>
      <c r="D91" s="45"/>
      <c r="E91" s="44">
        <f t="shared" si="2"/>
        <v>0</v>
      </c>
      <c r="F91" s="5"/>
      <c r="G91" s="5"/>
      <c r="H91" s="5"/>
    </row>
    <row r="92" spans="1:8" ht="18" x14ac:dyDescent="0.3">
      <c r="A92" s="10" t="s">
        <v>292</v>
      </c>
      <c r="B92" s="10"/>
      <c r="C92" s="45"/>
      <c r="D92" s="45"/>
      <c r="E92" s="44">
        <f t="shared" si="2"/>
        <v>0</v>
      </c>
      <c r="F92" s="5"/>
      <c r="G92" s="188"/>
      <c r="H92" s="5"/>
    </row>
    <row r="93" spans="1:8" ht="18" x14ac:dyDescent="0.3">
      <c r="A93" s="10" t="s">
        <v>293</v>
      </c>
      <c r="B93" s="10"/>
      <c r="C93" s="45"/>
      <c r="D93" s="45"/>
      <c r="E93" s="44">
        <f t="shared" si="2"/>
        <v>0</v>
      </c>
      <c r="F93" s="5"/>
      <c r="G93" s="188"/>
      <c r="H93" s="5"/>
    </row>
    <row r="94" spans="1:8" ht="18" x14ac:dyDescent="0.3">
      <c r="A94" s="10" t="s">
        <v>294</v>
      </c>
      <c r="B94" s="10"/>
      <c r="C94" s="45"/>
      <c r="D94" s="45"/>
      <c r="E94" s="44">
        <f t="shared" si="2"/>
        <v>0</v>
      </c>
      <c r="F94" s="5"/>
      <c r="G94" s="5"/>
      <c r="H94" s="5"/>
    </row>
    <row r="95" spans="1:8" ht="18" x14ac:dyDescent="0.3">
      <c r="A95" s="10" t="s">
        <v>295</v>
      </c>
      <c r="B95" s="10"/>
      <c r="C95" s="45"/>
      <c r="D95" s="45"/>
      <c r="E95" s="44">
        <f t="shared" si="2"/>
        <v>0</v>
      </c>
      <c r="F95" s="5"/>
      <c r="G95" s="5"/>
      <c r="H95" s="5"/>
    </row>
    <row r="96" spans="1:8" ht="18" x14ac:dyDescent="0.3">
      <c r="A96" s="10" t="s">
        <v>296</v>
      </c>
      <c r="B96" s="10"/>
      <c r="C96" s="45"/>
      <c r="D96" s="45"/>
      <c r="E96" s="44">
        <f t="shared" si="2"/>
        <v>0</v>
      </c>
      <c r="F96" s="5"/>
      <c r="G96" s="5"/>
      <c r="H96" s="5"/>
    </row>
    <row r="97" spans="1:8" ht="18" x14ac:dyDescent="0.3">
      <c r="A97" s="10" t="s">
        <v>297</v>
      </c>
      <c r="B97" s="10"/>
      <c r="C97" s="45"/>
      <c r="D97" s="45"/>
      <c r="E97" s="44">
        <f t="shared" si="2"/>
        <v>0</v>
      </c>
      <c r="F97" s="5"/>
      <c r="G97" s="5"/>
      <c r="H97" s="5"/>
    </row>
    <row r="98" spans="1:8" ht="18" x14ac:dyDescent="0.3">
      <c r="A98" s="10" t="s">
        <v>298</v>
      </c>
      <c r="B98" s="10"/>
      <c r="C98" s="45"/>
      <c r="D98" s="45"/>
      <c r="E98" s="44">
        <f t="shared" si="2"/>
        <v>0</v>
      </c>
      <c r="F98" s="5"/>
      <c r="G98" s="5"/>
      <c r="H98" s="5"/>
    </row>
    <row r="99" spans="1:8" ht="18" x14ac:dyDescent="0.3">
      <c r="A99" s="10" t="s">
        <v>299</v>
      </c>
      <c r="B99" s="10"/>
      <c r="C99" s="45"/>
      <c r="D99" s="45"/>
      <c r="E99" s="44">
        <f t="shared" si="2"/>
        <v>0</v>
      </c>
      <c r="F99" s="5"/>
      <c r="G99" s="188"/>
      <c r="H99" s="5"/>
    </row>
    <row r="100" spans="1:8" ht="18" x14ac:dyDescent="0.3">
      <c r="A100" s="10" t="s">
        <v>300</v>
      </c>
      <c r="B100" s="10"/>
      <c r="C100" s="45"/>
      <c r="D100" s="45"/>
      <c r="E100" s="44">
        <f t="shared" si="2"/>
        <v>0</v>
      </c>
      <c r="F100" s="5"/>
      <c r="G100" s="188"/>
      <c r="H100" s="5"/>
    </row>
    <row r="101" spans="1:8" ht="18" x14ac:dyDescent="0.3">
      <c r="A101" s="10" t="s">
        <v>310</v>
      </c>
      <c r="B101" s="10"/>
      <c r="C101" s="45"/>
      <c r="D101" s="45"/>
      <c r="E101" s="44">
        <f t="shared" si="2"/>
        <v>0</v>
      </c>
      <c r="F101" s="5"/>
      <c r="G101" s="5"/>
      <c r="H101" s="5"/>
    </row>
    <row r="102" spans="1:8" ht="18" x14ac:dyDescent="0.3">
      <c r="A102" s="10" t="s">
        <v>302</v>
      </c>
      <c r="B102" s="10"/>
      <c r="C102" s="45"/>
      <c r="D102" s="45"/>
      <c r="E102" s="44">
        <f t="shared" si="2"/>
        <v>0</v>
      </c>
      <c r="F102" s="5"/>
      <c r="G102" s="5"/>
      <c r="H102" s="5"/>
    </row>
    <row r="103" spans="1:8" ht="18" x14ac:dyDescent="0.3">
      <c r="A103" s="10" t="s">
        <v>303</v>
      </c>
      <c r="B103" s="10"/>
      <c r="C103" s="45"/>
      <c r="D103" s="45"/>
      <c r="E103" s="44">
        <f t="shared" si="2"/>
        <v>0</v>
      </c>
      <c r="F103" s="5"/>
      <c r="G103" s="5"/>
      <c r="H103" s="5"/>
    </row>
    <row r="104" spans="1:8" ht="18" x14ac:dyDescent="0.3">
      <c r="A104" s="10" t="s">
        <v>304</v>
      </c>
      <c r="B104" s="10"/>
      <c r="C104" s="45"/>
      <c r="D104" s="45"/>
      <c r="E104" s="32">
        <f t="shared" si="2"/>
        <v>0</v>
      </c>
      <c r="F104" s="13"/>
      <c r="G104" s="13"/>
      <c r="H104" s="13"/>
    </row>
    <row r="105" spans="1:8" ht="18" x14ac:dyDescent="0.3">
      <c r="A105" s="10" t="s">
        <v>305</v>
      </c>
      <c r="B105" s="10"/>
      <c r="C105" s="45"/>
      <c r="D105" s="45"/>
      <c r="E105" s="44">
        <f t="shared" si="2"/>
        <v>0</v>
      </c>
      <c r="F105" s="5"/>
      <c r="G105" s="5"/>
      <c r="H105" s="5"/>
    </row>
    <row r="106" spans="1:8" ht="18" x14ac:dyDescent="0.3">
      <c r="A106" s="10" t="s">
        <v>306</v>
      </c>
      <c r="B106" s="10"/>
      <c r="C106" s="45"/>
      <c r="D106" s="45"/>
      <c r="E106" s="44">
        <f t="shared" si="2"/>
        <v>0</v>
      </c>
      <c r="F106" s="5"/>
      <c r="G106" s="5"/>
      <c r="H106" s="5"/>
    </row>
    <row r="107" spans="1:8" ht="18" x14ac:dyDescent="0.3">
      <c r="A107" s="10" t="s">
        <v>307</v>
      </c>
      <c r="B107" s="10"/>
      <c r="C107" s="45"/>
      <c r="D107" s="45"/>
      <c r="E107" s="44">
        <f t="shared" ref="E107:E110" si="3">+(D107*2+C107)/3</f>
        <v>0</v>
      </c>
      <c r="F107" s="5"/>
      <c r="G107" s="5"/>
      <c r="H107" s="5"/>
    </row>
    <row r="108" spans="1:8" ht="18" x14ac:dyDescent="0.3">
      <c r="A108" s="10" t="s">
        <v>308</v>
      </c>
      <c r="B108" s="10"/>
      <c r="C108" s="45"/>
      <c r="D108" s="45"/>
      <c r="E108" s="44">
        <f t="shared" si="3"/>
        <v>0</v>
      </c>
      <c r="F108" s="5"/>
      <c r="G108" s="5"/>
      <c r="H108" s="5"/>
    </row>
    <row r="109" spans="1:8" ht="18" x14ac:dyDescent="0.3">
      <c r="A109" s="10" t="s">
        <v>309</v>
      </c>
      <c r="B109" s="10"/>
      <c r="C109" s="45"/>
      <c r="D109" s="41"/>
      <c r="E109" s="44">
        <f t="shared" si="3"/>
        <v>0</v>
      </c>
      <c r="F109" s="188"/>
      <c r="G109" s="5"/>
      <c r="H109" s="5"/>
    </row>
    <row r="110" spans="1:8" ht="18" x14ac:dyDescent="0.3">
      <c r="A110" s="105" t="s">
        <v>386</v>
      </c>
      <c r="B110" s="10"/>
      <c r="C110" s="45"/>
      <c r="D110" s="45"/>
      <c r="E110" s="32">
        <f t="shared" si="3"/>
        <v>0</v>
      </c>
      <c r="F110" s="188"/>
      <c r="G110" s="5"/>
      <c r="H110" s="5"/>
    </row>
    <row r="111" spans="1:8" ht="16.5" x14ac:dyDescent="0.3">
      <c r="A111" s="2"/>
      <c r="B111" s="281" t="s">
        <v>392</v>
      </c>
      <c r="C111" s="281"/>
      <c r="D111" s="281"/>
      <c r="E111" s="281"/>
    </row>
    <row r="112" spans="1:8" ht="16.5" x14ac:dyDescent="0.3">
      <c r="A112" s="2"/>
      <c r="B112" s="2"/>
      <c r="C112" s="2"/>
      <c r="D112" s="2"/>
      <c r="E112" s="2"/>
    </row>
    <row r="113" spans="1:8" ht="16.5" x14ac:dyDescent="0.3">
      <c r="A113" s="2"/>
      <c r="B113" s="2"/>
      <c r="C113" s="47" t="s">
        <v>393</v>
      </c>
      <c r="D113" s="47" t="s">
        <v>394</v>
      </c>
      <c r="E113" s="47" t="s">
        <v>395</v>
      </c>
    </row>
    <row r="114" spans="1:8" ht="16.5" x14ac:dyDescent="0.3">
      <c r="A114" s="2"/>
      <c r="B114" s="48" t="s">
        <v>396</v>
      </c>
      <c r="C114" s="49">
        <v>58</v>
      </c>
      <c r="D114" s="49">
        <v>42</v>
      </c>
      <c r="E114" s="49">
        <f>SUM(C114:D114)</f>
        <v>100</v>
      </c>
    </row>
    <row r="115" spans="1:8" ht="16.5" x14ac:dyDescent="0.3">
      <c r="A115" s="2"/>
      <c r="B115" s="10" t="s">
        <v>397</v>
      </c>
      <c r="C115" s="49">
        <v>57</v>
      </c>
      <c r="D115" s="49">
        <v>38</v>
      </c>
      <c r="E115" s="49">
        <f>SUM(C115:D115)</f>
        <v>95</v>
      </c>
    </row>
    <row r="116" spans="1:8" ht="16.5" x14ac:dyDescent="0.3">
      <c r="A116" s="2"/>
      <c r="B116" s="10" t="s">
        <v>398</v>
      </c>
      <c r="C116" s="49">
        <v>1</v>
      </c>
      <c r="D116" s="49">
        <v>2</v>
      </c>
      <c r="E116" s="49">
        <f>SUM(C116:D116)</f>
        <v>3</v>
      </c>
    </row>
    <row r="117" spans="1:8" ht="16.5" x14ac:dyDescent="0.3">
      <c r="A117" s="2"/>
      <c r="B117" s="10" t="s">
        <v>399</v>
      </c>
      <c r="C117" s="49">
        <v>43</v>
      </c>
      <c r="D117" s="49">
        <v>29</v>
      </c>
      <c r="E117" s="49">
        <f>SUM(C117:D117)</f>
        <v>72</v>
      </c>
    </row>
    <row r="118" spans="1:8" ht="16.5" x14ac:dyDescent="0.3">
      <c r="A118" s="2"/>
      <c r="B118" s="10" t="s">
        <v>400</v>
      </c>
      <c r="C118" s="49">
        <v>15</v>
      </c>
      <c r="D118" s="49">
        <v>13</v>
      </c>
      <c r="E118" s="49">
        <f>SUM(C118:D118)</f>
        <v>28</v>
      </c>
    </row>
    <row r="119" spans="1:8" ht="16.5" x14ac:dyDescent="0.3">
      <c r="A119" s="2"/>
      <c r="B119" s="10" t="s">
        <v>401</v>
      </c>
      <c r="C119" s="50">
        <f>+C117/C114</f>
        <v>0.74137931034482762</v>
      </c>
      <c r="D119" s="50">
        <f>+D117/D114</f>
        <v>0.69047619047619047</v>
      </c>
      <c r="E119" s="50">
        <f>+E117/E114</f>
        <v>0.72</v>
      </c>
    </row>
    <row r="121" spans="1:8" ht="16.5" x14ac:dyDescent="0.3">
      <c r="A121" s="2"/>
      <c r="B121" s="2"/>
      <c r="C121" s="2"/>
      <c r="D121" s="2" t="s">
        <v>406</v>
      </c>
      <c r="E121" s="2"/>
      <c r="F121" s="2"/>
      <c r="G121" s="275"/>
      <c r="H121" s="275"/>
    </row>
    <row r="122" spans="1:8" ht="16.5" x14ac:dyDescent="0.3">
      <c r="A122" s="2"/>
      <c r="B122" s="2"/>
      <c r="C122" s="2"/>
      <c r="D122" s="2"/>
      <c r="E122" s="2"/>
      <c r="F122" s="2"/>
      <c r="G122" s="2"/>
      <c r="H122" s="2"/>
    </row>
    <row r="123" spans="1:8" ht="16.5" x14ac:dyDescent="0.3">
      <c r="A123" s="275" t="s">
        <v>403</v>
      </c>
      <c r="B123" s="275"/>
      <c r="C123" s="2"/>
      <c r="D123" s="2" t="s">
        <v>404</v>
      </c>
      <c r="E123" s="2"/>
      <c r="F123" s="2"/>
      <c r="G123" s="275"/>
      <c r="H123" s="275"/>
    </row>
    <row r="124" spans="1:8" ht="16.5" x14ac:dyDescent="0.3">
      <c r="A124" s="2"/>
      <c r="B124" s="2"/>
      <c r="C124" s="2"/>
      <c r="D124" s="2"/>
      <c r="E124" s="2"/>
      <c r="F124" s="2"/>
      <c r="G124" s="2"/>
      <c r="H124" s="2"/>
    </row>
    <row r="125" spans="1:8" ht="16.5" x14ac:dyDescent="0.3">
      <c r="A125" s="2"/>
      <c r="B125" s="2"/>
      <c r="C125" s="2"/>
      <c r="D125" s="2"/>
      <c r="E125" s="2"/>
      <c r="F125" s="2"/>
      <c r="G125" s="2"/>
      <c r="H125" s="2"/>
    </row>
    <row r="126" spans="1:8" ht="16.5" x14ac:dyDescent="0.3">
      <c r="A126" s="275" t="s">
        <v>405</v>
      </c>
      <c r="B126" s="275"/>
      <c r="C126" s="2"/>
      <c r="D126" s="2" t="s">
        <v>8</v>
      </c>
      <c r="E126" s="2"/>
      <c r="F126" s="2"/>
      <c r="G126" s="275"/>
      <c r="H126" s="275"/>
    </row>
  </sheetData>
  <sortState ref="A11:E110">
    <sortCondition descending="1" ref="E11:E110"/>
  </sortState>
  <mergeCells count="11">
    <mergeCell ref="G121:H121"/>
    <mergeCell ref="A123:B123"/>
    <mergeCell ref="G123:H123"/>
    <mergeCell ref="A126:B126"/>
    <mergeCell ref="G126:H126"/>
    <mergeCell ref="B111:E111"/>
    <mergeCell ref="C2:E2"/>
    <mergeCell ref="B5:G5"/>
    <mergeCell ref="C6:G6"/>
    <mergeCell ref="B7:G8"/>
    <mergeCell ref="B9:E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H126"/>
  <sheetViews>
    <sheetView topLeftCell="A55" workbookViewId="0">
      <selection activeCell="B72" sqref="B72"/>
    </sheetView>
  </sheetViews>
  <sheetFormatPr baseColWidth="10" defaultRowHeight="15" x14ac:dyDescent="0.25"/>
  <cols>
    <col min="1" max="1" width="5" customWidth="1"/>
    <col min="2" max="2" width="31.5703125" customWidth="1"/>
    <col min="3" max="3" width="12" customWidth="1"/>
    <col min="4" max="4" width="12.5703125" customWidth="1"/>
    <col min="5" max="5" width="10.42578125" customWidth="1"/>
  </cols>
  <sheetData>
    <row r="1" spans="1:8" ht="20.25" x14ac:dyDescent="0.3">
      <c r="A1" s="1" t="s">
        <v>929</v>
      </c>
      <c r="B1" s="6"/>
      <c r="C1" s="31" t="s">
        <v>5</v>
      </c>
      <c r="D1" s="31"/>
      <c r="E1" s="31"/>
      <c r="F1" s="2"/>
      <c r="G1" s="2"/>
      <c r="H1" s="2"/>
    </row>
    <row r="2" spans="1:8" ht="16.5" x14ac:dyDescent="0.3">
      <c r="A2" s="1" t="s">
        <v>930</v>
      </c>
      <c r="B2" s="6"/>
      <c r="C2" s="276" t="s">
        <v>6</v>
      </c>
      <c r="D2" s="276"/>
      <c r="E2" s="276"/>
      <c r="F2" s="2"/>
      <c r="G2" s="2"/>
      <c r="H2" s="2"/>
    </row>
    <row r="3" spans="1:8" ht="16.5" x14ac:dyDescent="0.3">
      <c r="A3" s="1" t="s">
        <v>931</v>
      </c>
      <c r="B3" s="6"/>
      <c r="C3" s="2"/>
      <c r="D3" s="2"/>
      <c r="E3" s="2"/>
      <c r="F3" s="2"/>
      <c r="G3" s="2"/>
      <c r="H3" s="2"/>
    </row>
    <row r="4" spans="1:8" ht="16.5" x14ac:dyDescent="0.3">
      <c r="A4" s="1" t="s">
        <v>932</v>
      </c>
      <c r="B4" s="6"/>
      <c r="C4" s="2"/>
      <c r="D4" s="3"/>
      <c r="E4" s="3"/>
      <c r="F4" s="2"/>
      <c r="G4" s="2"/>
      <c r="H4" s="2"/>
    </row>
    <row r="5" spans="1:8" ht="18.75" x14ac:dyDescent="0.3">
      <c r="A5" s="2"/>
      <c r="B5" s="283" t="s">
        <v>1047</v>
      </c>
      <c r="C5" s="283"/>
      <c r="D5" s="283"/>
      <c r="E5" s="283"/>
      <c r="F5" s="283"/>
      <c r="G5" s="283"/>
      <c r="H5" s="2"/>
    </row>
    <row r="6" spans="1:8" ht="21" x14ac:dyDescent="0.3">
      <c r="A6" s="2"/>
      <c r="B6" s="255"/>
      <c r="C6" s="283" t="s">
        <v>1050</v>
      </c>
      <c r="D6" s="283"/>
      <c r="E6" s="283"/>
      <c r="F6" s="283"/>
      <c r="G6" s="283"/>
      <c r="H6" s="2"/>
    </row>
    <row r="7" spans="1:8" ht="16.5" customHeight="1" x14ac:dyDescent="0.3">
      <c r="A7" s="324" t="s">
        <v>1046</v>
      </c>
      <c r="B7" s="324"/>
      <c r="C7" s="324"/>
      <c r="D7" s="324"/>
      <c r="E7" s="324"/>
      <c r="F7" s="324"/>
      <c r="G7" s="324"/>
      <c r="H7" s="2"/>
    </row>
    <row r="8" spans="1:8" ht="16.5" x14ac:dyDescent="0.3">
      <c r="A8" s="324"/>
      <c r="B8" s="324"/>
      <c r="C8" s="324"/>
      <c r="D8" s="324"/>
      <c r="E8" s="324"/>
      <c r="F8" s="324"/>
      <c r="G8" s="324"/>
      <c r="H8" s="2"/>
    </row>
    <row r="9" spans="1:8" ht="18.75" x14ac:dyDescent="0.3">
      <c r="A9" s="325"/>
      <c r="B9" s="326"/>
      <c r="C9" s="326"/>
      <c r="D9" s="326"/>
      <c r="E9" s="327"/>
      <c r="F9" s="325"/>
      <c r="G9" s="325"/>
      <c r="H9" s="2"/>
    </row>
    <row r="10" spans="1:8" ht="72" x14ac:dyDescent="0.25">
      <c r="A10" s="328" t="s">
        <v>106</v>
      </c>
      <c r="B10" s="329" t="s">
        <v>0</v>
      </c>
      <c r="C10" s="329" t="s">
        <v>210</v>
      </c>
      <c r="D10" s="329" t="s">
        <v>445</v>
      </c>
      <c r="E10" s="329" t="s">
        <v>446</v>
      </c>
      <c r="F10" s="244"/>
      <c r="G10" s="244"/>
      <c r="H10" s="8"/>
    </row>
    <row r="11" spans="1:8" ht="20.25" x14ac:dyDescent="0.25">
      <c r="A11" s="330" t="s">
        <v>1176</v>
      </c>
      <c r="B11" s="330" t="s">
        <v>962</v>
      </c>
      <c r="C11" s="331">
        <v>15.777777777777777</v>
      </c>
      <c r="D11" s="211">
        <v>16.311111111111114</v>
      </c>
      <c r="E11" s="211">
        <f t="shared" ref="E11:E42" si="0">+(D11+C11)/2</f>
        <v>16.044444444444444</v>
      </c>
      <c r="F11" s="325"/>
      <c r="G11" s="325"/>
      <c r="H11" s="5"/>
    </row>
    <row r="12" spans="1:8" ht="20.25" x14ac:dyDescent="0.25">
      <c r="A12" s="330" t="s">
        <v>1177</v>
      </c>
      <c r="B12" s="330" t="s">
        <v>967</v>
      </c>
      <c r="C12" s="331">
        <v>15.444444444444443</v>
      </c>
      <c r="D12" s="211">
        <v>15.266666666666666</v>
      </c>
      <c r="E12" s="211">
        <f t="shared" si="0"/>
        <v>15.355555555555554</v>
      </c>
      <c r="F12" s="325"/>
      <c r="G12" s="325"/>
      <c r="H12" s="5"/>
    </row>
    <row r="13" spans="1:8" ht="20.25" x14ac:dyDescent="0.25">
      <c r="A13" s="330" t="s">
        <v>1178</v>
      </c>
      <c r="B13" s="330" t="s">
        <v>978</v>
      </c>
      <c r="C13" s="331">
        <v>13.6</v>
      </c>
      <c r="D13" s="211">
        <v>15.477777777777776</v>
      </c>
      <c r="E13" s="211">
        <f t="shared" si="0"/>
        <v>14.538888888888888</v>
      </c>
      <c r="F13" s="325"/>
      <c r="G13" s="325"/>
      <c r="H13" s="5"/>
    </row>
    <row r="14" spans="1:8" ht="20.25" x14ac:dyDescent="0.25">
      <c r="A14" s="330" t="s">
        <v>1179</v>
      </c>
      <c r="B14" s="330" t="s">
        <v>994</v>
      </c>
      <c r="C14" s="331">
        <v>13.411111111111111</v>
      </c>
      <c r="D14" s="211">
        <v>14.633333333333333</v>
      </c>
      <c r="E14" s="211">
        <f t="shared" si="0"/>
        <v>14.022222222222222</v>
      </c>
      <c r="F14" s="325"/>
      <c r="G14" s="325"/>
      <c r="H14" s="5"/>
    </row>
    <row r="15" spans="1:8" ht="20.25" x14ac:dyDescent="0.25">
      <c r="A15" s="330" t="s">
        <v>1180</v>
      </c>
      <c r="B15" s="330" t="s">
        <v>995</v>
      </c>
      <c r="C15" s="331">
        <v>13.022222222222224</v>
      </c>
      <c r="D15" s="211">
        <v>14.666666666666666</v>
      </c>
      <c r="E15" s="211">
        <f t="shared" si="0"/>
        <v>13.844444444444445</v>
      </c>
      <c r="F15" s="325"/>
      <c r="G15" s="325"/>
      <c r="H15" s="5"/>
    </row>
    <row r="16" spans="1:8" ht="20.25" x14ac:dyDescent="0.25">
      <c r="A16" s="330" t="s">
        <v>1181</v>
      </c>
      <c r="B16" s="330" t="s">
        <v>963</v>
      </c>
      <c r="C16" s="331">
        <v>12.81111111111111</v>
      </c>
      <c r="D16" s="211">
        <v>14.733333333333334</v>
      </c>
      <c r="E16" s="211">
        <f t="shared" si="0"/>
        <v>13.772222222222222</v>
      </c>
      <c r="F16" s="325"/>
      <c r="G16" s="325"/>
      <c r="H16" s="5"/>
    </row>
    <row r="17" spans="1:8" ht="20.25" x14ac:dyDescent="0.25">
      <c r="A17" s="330" t="s">
        <v>1182</v>
      </c>
      <c r="B17" s="330" t="s">
        <v>490</v>
      </c>
      <c r="C17" s="331">
        <v>13.366666666666667</v>
      </c>
      <c r="D17" s="211">
        <v>13.877777777777778</v>
      </c>
      <c r="E17" s="211">
        <f t="shared" si="0"/>
        <v>13.622222222222224</v>
      </c>
      <c r="F17" s="332"/>
      <c r="G17" s="332"/>
      <c r="H17" s="11"/>
    </row>
    <row r="18" spans="1:8" ht="20.25" x14ac:dyDescent="0.25">
      <c r="A18" s="330" t="s">
        <v>1183</v>
      </c>
      <c r="B18" s="330" t="s">
        <v>950</v>
      </c>
      <c r="C18" s="211">
        <v>12.988888888888889</v>
      </c>
      <c r="D18" s="211">
        <v>13.766666666666666</v>
      </c>
      <c r="E18" s="211">
        <f t="shared" si="0"/>
        <v>13.377777777777776</v>
      </c>
      <c r="F18" s="332"/>
      <c r="G18" s="332"/>
      <c r="H18" s="11"/>
    </row>
    <row r="19" spans="1:8" ht="20.25" x14ac:dyDescent="0.25">
      <c r="A19" s="330" t="s">
        <v>1184</v>
      </c>
      <c r="B19" s="330" t="s">
        <v>951</v>
      </c>
      <c r="C19" s="211">
        <v>12.988888888888889</v>
      </c>
      <c r="D19" s="211">
        <v>13.766666666666666</v>
      </c>
      <c r="E19" s="211">
        <f t="shared" si="0"/>
        <v>13.377777777777776</v>
      </c>
      <c r="F19" s="325"/>
      <c r="G19" s="325"/>
      <c r="H19" s="5"/>
    </row>
    <row r="20" spans="1:8" ht="20.25" x14ac:dyDescent="0.25">
      <c r="A20" s="330" t="s">
        <v>1185</v>
      </c>
      <c r="B20" s="330" t="s">
        <v>959</v>
      </c>
      <c r="C20" s="331">
        <v>12.622222222222222</v>
      </c>
      <c r="D20" s="245">
        <v>13.444444444444443</v>
      </c>
      <c r="E20" s="211">
        <f t="shared" si="0"/>
        <v>13.033333333333331</v>
      </c>
      <c r="F20" s="325"/>
      <c r="G20" s="325"/>
      <c r="H20" s="5"/>
    </row>
    <row r="21" spans="1:8" ht="20.25" x14ac:dyDescent="0.25">
      <c r="A21" s="330" t="s">
        <v>1186</v>
      </c>
      <c r="B21" s="330" t="s">
        <v>954</v>
      </c>
      <c r="C21" s="331">
        <v>12.677777777777777</v>
      </c>
      <c r="D21" s="211">
        <v>13.277777777777777</v>
      </c>
      <c r="E21" s="211">
        <f t="shared" si="0"/>
        <v>12.977777777777778</v>
      </c>
      <c r="F21" s="325"/>
      <c r="G21" s="325"/>
      <c r="H21" s="5"/>
    </row>
    <row r="22" spans="1:8" ht="20.25" x14ac:dyDescent="0.25">
      <c r="A22" s="330" t="s">
        <v>1187</v>
      </c>
      <c r="B22" s="330" t="s">
        <v>964</v>
      </c>
      <c r="C22" s="331">
        <v>12.78888888888889</v>
      </c>
      <c r="D22" s="211">
        <v>12.71111111111111</v>
      </c>
      <c r="E22" s="211">
        <f t="shared" si="0"/>
        <v>12.75</v>
      </c>
      <c r="F22" s="332"/>
      <c r="G22" s="332"/>
      <c r="H22" s="11"/>
    </row>
    <row r="23" spans="1:8" ht="20.25" x14ac:dyDescent="0.25">
      <c r="A23" s="330" t="s">
        <v>1188</v>
      </c>
      <c r="B23" s="330" t="s">
        <v>965</v>
      </c>
      <c r="C23" s="331">
        <v>12.544444444444444</v>
      </c>
      <c r="D23" s="211">
        <v>12.866666666666667</v>
      </c>
      <c r="E23" s="211">
        <f t="shared" si="0"/>
        <v>12.705555555555556</v>
      </c>
      <c r="F23" s="325"/>
      <c r="G23" s="325"/>
      <c r="H23" s="5"/>
    </row>
    <row r="24" spans="1:8" ht="20.25" x14ac:dyDescent="0.25">
      <c r="A24" s="330" t="s">
        <v>1189</v>
      </c>
      <c r="B24" s="330" t="s">
        <v>966</v>
      </c>
      <c r="C24" s="331">
        <v>12.544444444444444</v>
      </c>
      <c r="D24" s="211">
        <v>12.866666666666667</v>
      </c>
      <c r="E24" s="211">
        <f t="shared" si="0"/>
        <v>12.705555555555556</v>
      </c>
      <c r="F24" s="325"/>
      <c r="G24" s="325"/>
      <c r="H24" s="5"/>
    </row>
    <row r="25" spans="1:8" ht="20.25" x14ac:dyDescent="0.25">
      <c r="A25" s="330" t="s">
        <v>1190</v>
      </c>
      <c r="B25" s="330" t="s">
        <v>952</v>
      </c>
      <c r="C25" s="331">
        <v>11.81111111111111</v>
      </c>
      <c r="D25" s="211">
        <v>13.388888888888891</v>
      </c>
      <c r="E25" s="211">
        <f t="shared" si="0"/>
        <v>12.600000000000001</v>
      </c>
      <c r="F25" s="325"/>
      <c r="G25" s="325"/>
      <c r="H25" s="5"/>
    </row>
    <row r="26" spans="1:8" ht="20.25" x14ac:dyDescent="0.25">
      <c r="A26" s="330" t="s">
        <v>1191</v>
      </c>
      <c r="B26" s="330" t="s">
        <v>990</v>
      </c>
      <c r="C26" s="331">
        <v>11.877777777777778</v>
      </c>
      <c r="D26" s="211">
        <v>13.222222222222223</v>
      </c>
      <c r="E26" s="211">
        <f t="shared" si="0"/>
        <v>12.55</v>
      </c>
      <c r="F26" s="325"/>
      <c r="G26" s="325"/>
      <c r="H26" s="5"/>
    </row>
    <row r="27" spans="1:8" ht="20.25" x14ac:dyDescent="0.25">
      <c r="A27" s="330" t="s">
        <v>1192</v>
      </c>
      <c r="B27" s="330" t="s">
        <v>989</v>
      </c>
      <c r="C27" s="331">
        <v>12.488888888888889</v>
      </c>
      <c r="D27" s="211">
        <v>12.455555555555556</v>
      </c>
      <c r="E27" s="211">
        <f t="shared" si="0"/>
        <v>12.472222222222221</v>
      </c>
      <c r="F27" s="325"/>
      <c r="G27" s="325"/>
      <c r="H27" s="5"/>
    </row>
    <row r="28" spans="1:8" ht="20.25" x14ac:dyDescent="0.25">
      <c r="A28" s="330" t="s">
        <v>1193</v>
      </c>
      <c r="B28" s="330" t="s">
        <v>975</v>
      </c>
      <c r="C28" s="331">
        <v>12.077777777777778</v>
      </c>
      <c r="D28" s="211">
        <v>12.277777777777777</v>
      </c>
      <c r="E28" s="211">
        <f t="shared" si="0"/>
        <v>12.177777777777777</v>
      </c>
      <c r="F28" s="325"/>
      <c r="G28" s="325"/>
      <c r="H28" s="5"/>
    </row>
    <row r="29" spans="1:8" ht="20.25" x14ac:dyDescent="0.25">
      <c r="A29" s="330" t="s">
        <v>1194</v>
      </c>
      <c r="B29" s="330" t="s">
        <v>977</v>
      </c>
      <c r="C29" s="331">
        <v>12.6</v>
      </c>
      <c r="D29" s="211">
        <v>11.68888888888889</v>
      </c>
      <c r="E29" s="211">
        <f t="shared" si="0"/>
        <v>12.144444444444446</v>
      </c>
      <c r="F29" s="325"/>
      <c r="G29" s="325"/>
      <c r="H29" s="5"/>
    </row>
    <row r="30" spans="1:8" ht="20.25" x14ac:dyDescent="0.25">
      <c r="A30" s="330" t="s">
        <v>1195</v>
      </c>
      <c r="B30" s="330" t="s">
        <v>992</v>
      </c>
      <c r="C30" s="331">
        <v>11.177777777777777</v>
      </c>
      <c r="D30" s="211">
        <v>12.566666666666668</v>
      </c>
      <c r="E30" s="211">
        <f t="shared" si="0"/>
        <v>11.872222222222224</v>
      </c>
      <c r="F30" s="325"/>
      <c r="G30" s="325"/>
      <c r="H30" s="5"/>
    </row>
    <row r="31" spans="1:8" ht="20.25" x14ac:dyDescent="0.25">
      <c r="A31" s="330" t="s">
        <v>1196</v>
      </c>
      <c r="B31" s="330" t="s">
        <v>968</v>
      </c>
      <c r="C31" s="331">
        <v>11.655555555555557</v>
      </c>
      <c r="D31" s="211">
        <v>12</v>
      </c>
      <c r="E31" s="211">
        <f t="shared" si="0"/>
        <v>11.827777777777779</v>
      </c>
      <c r="F31" s="325"/>
      <c r="G31" s="325"/>
      <c r="H31" s="5"/>
    </row>
    <row r="32" spans="1:8" ht="20.25" x14ac:dyDescent="0.25">
      <c r="A32" s="330" t="s">
        <v>1197</v>
      </c>
      <c r="B32" s="330" t="s">
        <v>974</v>
      </c>
      <c r="C32" s="331">
        <v>11.6</v>
      </c>
      <c r="D32" s="211">
        <v>11.833333333333334</v>
      </c>
      <c r="E32" s="211">
        <f t="shared" si="0"/>
        <v>11.716666666666667</v>
      </c>
      <c r="F32" s="325"/>
      <c r="G32" s="325"/>
      <c r="H32" s="5"/>
    </row>
    <row r="33" spans="1:8" ht="20.25" x14ac:dyDescent="0.25">
      <c r="A33" s="330" t="s">
        <v>1198</v>
      </c>
      <c r="B33" s="330" t="s">
        <v>981</v>
      </c>
      <c r="C33" s="331">
        <v>11.355555555555556</v>
      </c>
      <c r="D33" s="211">
        <v>11.477777777777776</v>
      </c>
      <c r="E33" s="211">
        <f t="shared" si="0"/>
        <v>11.416666666666666</v>
      </c>
      <c r="F33" s="333"/>
      <c r="G33" s="333"/>
      <c r="H33" s="13"/>
    </row>
    <row r="34" spans="1:8" ht="20.25" x14ac:dyDescent="0.25">
      <c r="A34" s="330" t="s">
        <v>1199</v>
      </c>
      <c r="B34" s="330" t="s">
        <v>972</v>
      </c>
      <c r="C34" s="331">
        <v>10.966666666666667</v>
      </c>
      <c r="D34" s="211">
        <v>11.644444444444444</v>
      </c>
      <c r="E34" s="211">
        <f t="shared" si="0"/>
        <v>11.305555555555555</v>
      </c>
      <c r="F34" s="325"/>
      <c r="G34" s="325"/>
      <c r="H34" s="5"/>
    </row>
    <row r="35" spans="1:8" ht="20.25" x14ac:dyDescent="0.25">
      <c r="A35" s="330" t="s">
        <v>1200</v>
      </c>
      <c r="B35" s="330" t="s">
        <v>986</v>
      </c>
      <c r="C35" s="331">
        <v>12.044444444444444</v>
      </c>
      <c r="D35" s="211">
        <v>10.28888888888889</v>
      </c>
      <c r="E35" s="211">
        <f t="shared" si="0"/>
        <v>11.166666666666668</v>
      </c>
      <c r="F35" s="325"/>
      <c r="G35" s="325"/>
      <c r="H35" s="5"/>
    </row>
    <row r="36" spans="1:8" ht="20.25" x14ac:dyDescent="0.25">
      <c r="A36" s="330" t="s">
        <v>1201</v>
      </c>
      <c r="B36" s="330" t="s">
        <v>475</v>
      </c>
      <c r="C36" s="331">
        <v>9.8666666666666671</v>
      </c>
      <c r="D36" s="211">
        <v>12.355555555555556</v>
      </c>
      <c r="E36" s="211">
        <f t="shared" si="0"/>
        <v>11.111111111111111</v>
      </c>
      <c r="F36" s="325"/>
      <c r="G36" s="325"/>
      <c r="H36" s="5"/>
    </row>
    <row r="37" spans="1:8" ht="20.25" x14ac:dyDescent="0.25">
      <c r="A37" s="330" t="s">
        <v>1202</v>
      </c>
      <c r="B37" s="330" t="s">
        <v>955</v>
      </c>
      <c r="C37" s="331">
        <v>9.9666666666666668</v>
      </c>
      <c r="D37" s="211">
        <v>11.944444444444443</v>
      </c>
      <c r="E37" s="211">
        <f t="shared" si="0"/>
        <v>10.955555555555556</v>
      </c>
      <c r="F37" s="325"/>
      <c r="G37" s="325"/>
      <c r="H37" s="5"/>
    </row>
    <row r="38" spans="1:8" ht="20.25" x14ac:dyDescent="0.25">
      <c r="A38" s="330" t="s">
        <v>1203</v>
      </c>
      <c r="B38" s="330" t="s">
        <v>973</v>
      </c>
      <c r="C38" s="331">
        <v>9.3555555555555561</v>
      </c>
      <c r="D38" s="211">
        <v>11.78888888888889</v>
      </c>
      <c r="E38" s="211">
        <f t="shared" si="0"/>
        <v>10.572222222222223</v>
      </c>
      <c r="F38" s="325"/>
      <c r="G38" s="325"/>
      <c r="H38" s="5"/>
    </row>
    <row r="39" spans="1:8" ht="20.25" x14ac:dyDescent="0.25">
      <c r="A39" s="330" t="s">
        <v>1204</v>
      </c>
      <c r="B39" s="330" t="s">
        <v>953</v>
      </c>
      <c r="C39" s="331">
        <v>10.033333333333333</v>
      </c>
      <c r="D39" s="211">
        <v>11.111111111111109</v>
      </c>
      <c r="E39" s="211">
        <f t="shared" si="0"/>
        <v>10.572222222222221</v>
      </c>
      <c r="F39" s="325"/>
      <c r="G39" s="325"/>
      <c r="H39" s="5"/>
    </row>
    <row r="40" spans="1:8" ht="20.25" x14ac:dyDescent="0.25">
      <c r="A40" s="330" t="s">
        <v>1205</v>
      </c>
      <c r="B40" s="330" t="s">
        <v>957</v>
      </c>
      <c r="C40" s="331">
        <v>10.033333333333333</v>
      </c>
      <c r="D40" s="211">
        <v>10.888888888888891</v>
      </c>
      <c r="E40" s="211">
        <f t="shared" si="0"/>
        <v>10.461111111111112</v>
      </c>
      <c r="F40" s="325"/>
      <c r="G40" s="325"/>
      <c r="H40" s="5"/>
    </row>
    <row r="41" spans="1:8" ht="20.25" x14ac:dyDescent="0.25">
      <c r="A41" s="330" t="s">
        <v>1206</v>
      </c>
      <c r="B41" s="330" t="s">
        <v>985</v>
      </c>
      <c r="C41" s="331">
        <v>8.8444444444444432</v>
      </c>
      <c r="D41" s="211">
        <v>11.844444444444443</v>
      </c>
      <c r="E41" s="211">
        <f t="shared" si="0"/>
        <v>10.344444444444443</v>
      </c>
      <c r="F41" s="325"/>
      <c r="G41" s="325"/>
      <c r="H41" s="5"/>
    </row>
    <row r="42" spans="1:8" ht="20.25" x14ac:dyDescent="0.25">
      <c r="A42" s="330" t="s">
        <v>1207</v>
      </c>
      <c r="B42" s="330" t="s">
        <v>961</v>
      </c>
      <c r="C42" s="331">
        <v>9.5444444444444443</v>
      </c>
      <c r="D42" s="211">
        <v>11.066666666666668</v>
      </c>
      <c r="E42" s="211">
        <f t="shared" si="0"/>
        <v>10.305555555555557</v>
      </c>
      <c r="F42" s="325"/>
      <c r="G42" s="325"/>
      <c r="H42" s="5"/>
    </row>
    <row r="43" spans="1:8" ht="20.25" x14ac:dyDescent="0.25">
      <c r="A43" s="330" t="s">
        <v>1208</v>
      </c>
      <c r="B43" s="330" t="s">
        <v>971</v>
      </c>
      <c r="C43" s="331">
        <v>10.388888888888889</v>
      </c>
      <c r="D43" s="211">
        <v>10.222222222222223</v>
      </c>
      <c r="E43" s="211">
        <f t="shared" ref="E43:E63" si="1">+(D43+C43)/2</f>
        <v>10.305555555555557</v>
      </c>
      <c r="F43" s="325"/>
      <c r="G43" s="325"/>
      <c r="H43" s="5"/>
    </row>
    <row r="44" spans="1:8" ht="20.25" x14ac:dyDescent="0.25">
      <c r="A44" s="330" t="s">
        <v>1209</v>
      </c>
      <c r="B44" s="330" t="s">
        <v>969</v>
      </c>
      <c r="C44" s="331">
        <v>9.6555555555555568</v>
      </c>
      <c r="D44" s="211">
        <v>10.9</v>
      </c>
      <c r="E44" s="211">
        <f t="shared" si="1"/>
        <v>10.277777777777779</v>
      </c>
      <c r="F44" s="325"/>
      <c r="G44" s="325"/>
      <c r="H44" s="5"/>
    </row>
    <row r="45" spans="1:8" ht="20.25" x14ac:dyDescent="0.25">
      <c r="A45" s="330" t="s">
        <v>1210</v>
      </c>
      <c r="B45" s="330" t="s">
        <v>960</v>
      </c>
      <c r="C45" s="331">
        <v>9.1777777777777771</v>
      </c>
      <c r="D45" s="211">
        <v>10.866666666666667</v>
      </c>
      <c r="E45" s="211">
        <f t="shared" si="1"/>
        <v>10.022222222222222</v>
      </c>
      <c r="F45" s="325"/>
      <c r="G45" s="325"/>
      <c r="H45" s="5"/>
    </row>
    <row r="46" spans="1:8" ht="20.25" x14ac:dyDescent="0.25">
      <c r="A46" s="330" t="s">
        <v>1211</v>
      </c>
      <c r="B46" s="330" t="s">
        <v>466</v>
      </c>
      <c r="C46" s="331">
        <v>8.3444444444444432</v>
      </c>
      <c r="D46" s="211">
        <v>11.611111111111109</v>
      </c>
      <c r="E46" s="211">
        <f t="shared" si="1"/>
        <v>9.9777777777777761</v>
      </c>
      <c r="F46" s="325"/>
      <c r="G46" s="325"/>
      <c r="H46" s="5"/>
    </row>
    <row r="47" spans="1:8" ht="20.25" x14ac:dyDescent="0.25">
      <c r="A47" s="330" t="s">
        <v>1212</v>
      </c>
      <c r="B47" s="330" t="s">
        <v>958</v>
      </c>
      <c r="C47" s="331">
        <v>9.3666666666666671</v>
      </c>
      <c r="D47" s="211">
        <v>10.255555555555555</v>
      </c>
      <c r="E47" s="211">
        <f t="shared" si="1"/>
        <v>9.81111111111111</v>
      </c>
      <c r="F47" s="333"/>
      <c r="G47" s="333"/>
      <c r="H47" s="13"/>
    </row>
    <row r="48" spans="1:8" ht="20.25" x14ac:dyDescent="0.25">
      <c r="A48" s="330" t="s">
        <v>1213</v>
      </c>
      <c r="B48" s="330" t="s">
        <v>956</v>
      </c>
      <c r="C48" s="331">
        <v>8.81111111111111</v>
      </c>
      <c r="D48" s="211">
        <v>10.611111111111111</v>
      </c>
      <c r="E48" s="211">
        <f t="shared" si="1"/>
        <v>9.7111111111111104</v>
      </c>
      <c r="F48" s="325"/>
      <c r="G48" s="325"/>
      <c r="H48" s="5"/>
    </row>
    <row r="49" spans="1:8" ht="20.25" x14ac:dyDescent="0.25">
      <c r="A49" s="330" t="s">
        <v>1214</v>
      </c>
      <c r="B49" s="330" t="s">
        <v>468</v>
      </c>
      <c r="C49" s="331">
        <v>9.0333333333333332</v>
      </c>
      <c r="D49" s="211">
        <v>10.033333333333333</v>
      </c>
      <c r="E49" s="211">
        <f t="shared" si="1"/>
        <v>9.5333333333333332</v>
      </c>
      <c r="F49" s="325"/>
      <c r="G49" s="325"/>
      <c r="H49" s="5"/>
    </row>
    <row r="50" spans="1:8" ht="20.25" x14ac:dyDescent="0.25">
      <c r="A50" s="330" t="s">
        <v>1215</v>
      </c>
      <c r="B50" s="330" t="s">
        <v>970</v>
      </c>
      <c r="C50" s="331">
        <v>9.1444444444444439</v>
      </c>
      <c r="D50" s="211">
        <v>9.8333333333333339</v>
      </c>
      <c r="E50" s="211">
        <f t="shared" si="1"/>
        <v>9.4888888888888889</v>
      </c>
      <c r="F50" s="325"/>
      <c r="G50" s="325"/>
      <c r="H50" s="5"/>
    </row>
    <row r="51" spans="1:8" ht="20.25" x14ac:dyDescent="0.25">
      <c r="A51" s="330" t="s">
        <v>1216</v>
      </c>
      <c r="B51" s="330" t="s">
        <v>979</v>
      </c>
      <c r="C51" s="331">
        <v>8.8777777777777782</v>
      </c>
      <c r="D51" s="211">
        <v>10</v>
      </c>
      <c r="E51" s="211">
        <f t="shared" si="1"/>
        <v>9.43888888888889</v>
      </c>
      <c r="F51" s="325"/>
      <c r="G51" s="325"/>
      <c r="H51" s="5"/>
    </row>
    <row r="52" spans="1:8" ht="20.25" x14ac:dyDescent="0.25">
      <c r="A52" s="330" t="s">
        <v>1217</v>
      </c>
      <c r="B52" s="330" t="s">
        <v>980</v>
      </c>
      <c r="C52" s="331">
        <v>8.3555555555555561</v>
      </c>
      <c r="D52" s="211">
        <v>10.377777777777778</v>
      </c>
      <c r="E52" s="211">
        <f t="shared" si="1"/>
        <v>9.3666666666666671</v>
      </c>
      <c r="F52" s="325"/>
      <c r="G52" s="325"/>
      <c r="H52" s="5"/>
    </row>
    <row r="53" spans="1:8" ht="20.25" x14ac:dyDescent="0.25">
      <c r="A53" s="330" t="s">
        <v>1218</v>
      </c>
      <c r="B53" s="334" t="s">
        <v>984</v>
      </c>
      <c r="C53" s="331">
        <v>10.28888888888889</v>
      </c>
      <c r="D53" s="211">
        <v>8.2888888888888896</v>
      </c>
      <c r="E53" s="211">
        <f t="shared" si="1"/>
        <v>9.2888888888888896</v>
      </c>
      <c r="F53" s="325"/>
      <c r="G53" s="325"/>
      <c r="H53" s="5"/>
    </row>
    <row r="54" spans="1:8" ht="20.25" x14ac:dyDescent="0.25">
      <c r="A54" s="330" t="s">
        <v>1219</v>
      </c>
      <c r="B54" s="330" t="s">
        <v>987</v>
      </c>
      <c r="C54" s="331">
        <v>8.5222222222222239</v>
      </c>
      <c r="D54" s="211">
        <v>9.9333333333333336</v>
      </c>
      <c r="E54" s="211">
        <f t="shared" si="1"/>
        <v>9.2277777777777779</v>
      </c>
      <c r="F54" s="325"/>
      <c r="G54" s="325"/>
      <c r="H54" s="5"/>
    </row>
    <row r="55" spans="1:8" ht="20.25" x14ac:dyDescent="0.25">
      <c r="A55" s="330" t="s">
        <v>1220</v>
      </c>
      <c r="B55" s="330" t="s">
        <v>996</v>
      </c>
      <c r="C55" s="331">
        <v>8.7333333333333325</v>
      </c>
      <c r="D55" s="211">
        <v>9.0444444444444443</v>
      </c>
      <c r="E55" s="211">
        <f t="shared" si="1"/>
        <v>8.8888888888888893</v>
      </c>
      <c r="F55" s="325"/>
      <c r="G55" s="325"/>
      <c r="H55" s="5"/>
    </row>
    <row r="56" spans="1:8" ht="20.25" x14ac:dyDescent="0.25">
      <c r="A56" s="330" t="s">
        <v>1221</v>
      </c>
      <c r="B56" s="330" t="s">
        <v>988</v>
      </c>
      <c r="C56" s="331">
        <v>8.1555555555555568</v>
      </c>
      <c r="D56" s="211">
        <v>9.3777777777777782</v>
      </c>
      <c r="E56" s="211">
        <f t="shared" si="1"/>
        <v>8.7666666666666675</v>
      </c>
      <c r="F56" s="325"/>
      <c r="G56" s="325"/>
      <c r="H56" s="5"/>
    </row>
    <row r="57" spans="1:8" ht="20.25" x14ac:dyDescent="0.25">
      <c r="A57" s="330" t="s">
        <v>1222</v>
      </c>
      <c r="B57" s="330" t="s">
        <v>499</v>
      </c>
      <c r="C57" s="331">
        <v>7.9666666666666659</v>
      </c>
      <c r="D57" s="211">
        <v>9.3888888888888893</v>
      </c>
      <c r="E57" s="211">
        <f t="shared" si="1"/>
        <v>8.6777777777777771</v>
      </c>
      <c r="F57" s="325"/>
      <c r="G57" s="325"/>
      <c r="H57" s="5"/>
    </row>
    <row r="58" spans="1:8" ht="20.25" x14ac:dyDescent="0.25">
      <c r="A58" s="330" t="s">
        <v>1223</v>
      </c>
      <c r="B58" s="330" t="s">
        <v>997</v>
      </c>
      <c r="C58" s="331">
        <v>6.2666666666666666</v>
      </c>
      <c r="D58" s="211">
        <v>10.833333333333334</v>
      </c>
      <c r="E58" s="211">
        <f t="shared" si="1"/>
        <v>8.5500000000000007</v>
      </c>
      <c r="F58" s="332"/>
      <c r="G58" s="332"/>
      <c r="H58" s="11"/>
    </row>
    <row r="59" spans="1:8" ht="20.25" x14ac:dyDescent="0.25">
      <c r="A59" s="330" t="s">
        <v>1224</v>
      </c>
      <c r="B59" s="330" t="s">
        <v>993</v>
      </c>
      <c r="C59" s="331">
        <v>6.8</v>
      </c>
      <c r="D59" s="211">
        <v>9.7444444444444454</v>
      </c>
      <c r="E59" s="211">
        <f t="shared" si="1"/>
        <v>8.2722222222222221</v>
      </c>
      <c r="F59" s="325"/>
      <c r="G59" s="325"/>
      <c r="H59" s="5"/>
    </row>
    <row r="60" spans="1:8" ht="20.25" x14ac:dyDescent="0.25">
      <c r="A60" s="330" t="s">
        <v>1225</v>
      </c>
      <c r="B60" s="330" t="s">
        <v>991</v>
      </c>
      <c r="C60" s="331">
        <v>7.3777777777777773</v>
      </c>
      <c r="D60" s="211">
        <v>8.8444444444444432</v>
      </c>
      <c r="E60" s="211">
        <f t="shared" si="1"/>
        <v>8.1111111111111107</v>
      </c>
      <c r="F60" s="325"/>
      <c r="G60" s="325"/>
      <c r="H60" s="5"/>
    </row>
    <row r="61" spans="1:8" ht="20.25" x14ac:dyDescent="0.25">
      <c r="A61" s="330" t="s">
        <v>1226</v>
      </c>
      <c r="B61" s="330" t="s">
        <v>982</v>
      </c>
      <c r="C61" s="331">
        <v>3.4555555555555553</v>
      </c>
      <c r="D61" s="211">
        <v>10.055555555555555</v>
      </c>
      <c r="E61" s="211">
        <f t="shared" si="1"/>
        <v>6.7555555555555555</v>
      </c>
      <c r="F61" s="325"/>
      <c r="G61" s="325"/>
      <c r="H61" s="5"/>
    </row>
    <row r="62" spans="1:8" ht="20.25" x14ac:dyDescent="0.25">
      <c r="A62" s="330" t="s">
        <v>1227</v>
      </c>
      <c r="B62" s="330" t="s">
        <v>983</v>
      </c>
      <c r="C62" s="331">
        <v>3.5777777777777779</v>
      </c>
      <c r="D62" s="335">
        <v>2.9555555555555557</v>
      </c>
      <c r="E62" s="211">
        <f t="shared" si="1"/>
        <v>3.2666666666666666</v>
      </c>
      <c r="F62" s="325"/>
      <c r="G62" s="325"/>
      <c r="H62" s="5"/>
    </row>
    <row r="63" spans="1:8" ht="20.25" x14ac:dyDescent="0.25">
      <c r="A63" s="330" t="s">
        <v>1228</v>
      </c>
      <c r="B63" s="330" t="s">
        <v>976</v>
      </c>
      <c r="C63" s="331">
        <v>0</v>
      </c>
      <c r="D63" s="211">
        <v>0</v>
      </c>
      <c r="E63" s="211">
        <f t="shared" si="1"/>
        <v>0</v>
      </c>
      <c r="F63" s="325"/>
      <c r="G63" s="325"/>
      <c r="H63" s="5"/>
    </row>
    <row r="64" spans="1:8" ht="18" x14ac:dyDescent="0.25">
      <c r="A64" s="325"/>
      <c r="B64" s="336" t="s">
        <v>1163</v>
      </c>
      <c r="C64" s="336"/>
      <c r="D64" s="336"/>
      <c r="E64" s="336"/>
      <c r="F64" s="325"/>
      <c r="G64" s="325"/>
      <c r="H64" s="5"/>
    </row>
    <row r="65" spans="1:8" ht="18" x14ac:dyDescent="0.25">
      <c r="A65" s="325"/>
      <c r="B65" s="325"/>
      <c r="C65" s="325"/>
      <c r="D65" s="325"/>
      <c r="E65" s="325"/>
      <c r="F65" s="325"/>
      <c r="G65" s="325"/>
      <c r="H65" s="5"/>
    </row>
    <row r="66" spans="1:8" ht="18" x14ac:dyDescent="0.25">
      <c r="A66" s="325"/>
      <c r="B66" s="244"/>
      <c r="C66" s="273" t="s">
        <v>393</v>
      </c>
      <c r="D66" s="273" t="s">
        <v>394</v>
      </c>
      <c r="E66" s="273" t="s">
        <v>395</v>
      </c>
      <c r="F66" s="325"/>
      <c r="G66" s="325"/>
      <c r="H66" s="5"/>
    </row>
    <row r="67" spans="1:8" ht="18" x14ac:dyDescent="0.25">
      <c r="A67" s="325"/>
      <c r="B67" s="337" t="s">
        <v>396</v>
      </c>
      <c r="C67" s="273">
        <v>23</v>
      </c>
      <c r="D67" s="273">
        <v>30</v>
      </c>
      <c r="E67" s="273">
        <v>53</v>
      </c>
      <c r="F67" s="325"/>
      <c r="G67" s="325"/>
      <c r="H67" s="5"/>
    </row>
    <row r="68" spans="1:8" ht="18" x14ac:dyDescent="0.25">
      <c r="A68" s="325"/>
      <c r="B68" s="330" t="s">
        <v>397</v>
      </c>
      <c r="C68" s="273">
        <v>23</v>
      </c>
      <c r="D68" s="273">
        <v>30</v>
      </c>
      <c r="E68" s="273">
        <f>SUM(C68:D68)</f>
        <v>53</v>
      </c>
      <c r="F68" s="325"/>
      <c r="G68" s="325"/>
      <c r="H68" s="5"/>
    </row>
    <row r="69" spans="1:8" ht="18" x14ac:dyDescent="0.25">
      <c r="A69" s="325"/>
      <c r="B69" s="330" t="s">
        <v>398</v>
      </c>
      <c r="C69" s="273">
        <v>0</v>
      </c>
      <c r="D69" s="273">
        <v>0</v>
      </c>
      <c r="E69" s="273">
        <f>SUM(C69:D69)</f>
        <v>0</v>
      </c>
      <c r="F69" s="325"/>
      <c r="G69" s="325"/>
      <c r="H69" s="5"/>
    </row>
    <row r="70" spans="1:8" ht="18" x14ac:dyDescent="0.25">
      <c r="A70" s="325"/>
      <c r="B70" s="330" t="s">
        <v>399</v>
      </c>
      <c r="C70" s="273">
        <v>14</v>
      </c>
      <c r="D70" s="273">
        <v>21</v>
      </c>
      <c r="E70" s="273">
        <v>35</v>
      </c>
      <c r="F70" s="325"/>
      <c r="G70" s="325"/>
      <c r="H70" s="5"/>
    </row>
    <row r="71" spans="1:8" ht="18" x14ac:dyDescent="0.25">
      <c r="A71" s="325"/>
      <c r="B71" s="330" t="s">
        <v>400</v>
      </c>
      <c r="C71" s="273">
        <v>9</v>
      </c>
      <c r="D71" s="273">
        <v>9</v>
      </c>
      <c r="E71" s="273">
        <v>18</v>
      </c>
      <c r="F71" s="325"/>
      <c r="G71" s="325"/>
      <c r="H71" s="5"/>
    </row>
    <row r="72" spans="1:8" ht="18" x14ac:dyDescent="0.25">
      <c r="A72" s="325"/>
      <c r="B72" s="330" t="s">
        <v>401</v>
      </c>
      <c r="C72" s="274">
        <f>+C70/C67</f>
        <v>0.60869565217391308</v>
      </c>
      <c r="D72" s="274">
        <f>+D70/D67</f>
        <v>0.7</v>
      </c>
      <c r="E72" s="274">
        <f>+E70/E67</f>
        <v>0.660377358490566</v>
      </c>
      <c r="F72" s="325"/>
      <c r="G72" s="325"/>
      <c r="H72" s="5"/>
    </row>
    <row r="73" spans="1:8" ht="18.75" x14ac:dyDescent="0.3">
      <c r="A73" s="338"/>
      <c r="B73" s="338"/>
      <c r="C73" s="338"/>
      <c r="D73" s="338"/>
      <c r="E73" s="338"/>
      <c r="F73" s="325"/>
      <c r="G73" s="325"/>
      <c r="H73" s="5"/>
    </row>
    <row r="74" spans="1:8" ht="18" x14ac:dyDescent="0.25">
      <c r="A74" s="272"/>
      <c r="B74" s="272"/>
      <c r="C74" s="272"/>
      <c r="D74" s="283" t="s">
        <v>1054</v>
      </c>
      <c r="E74" s="283"/>
      <c r="F74" s="325"/>
      <c r="G74" s="325"/>
      <c r="H74" s="5"/>
    </row>
    <row r="75" spans="1:8" ht="18" x14ac:dyDescent="0.25">
      <c r="A75" s="272"/>
      <c r="B75" s="272"/>
      <c r="C75" s="272"/>
      <c r="D75" s="272"/>
      <c r="E75" s="272"/>
      <c r="F75" s="325"/>
      <c r="G75" s="325"/>
      <c r="H75" s="5"/>
    </row>
    <row r="76" spans="1:8" ht="18.75" x14ac:dyDescent="0.3">
      <c r="A76" s="258"/>
      <c r="B76" s="258" t="s">
        <v>1053</v>
      </c>
      <c r="C76" s="272"/>
      <c r="D76" s="283" t="s">
        <v>404</v>
      </c>
      <c r="E76" s="283"/>
      <c r="F76" s="325"/>
      <c r="G76" s="325"/>
      <c r="H76" s="5"/>
    </row>
    <row r="77" spans="1:8" ht="18" x14ac:dyDescent="0.25">
      <c r="A77" s="272"/>
      <c r="B77" s="272"/>
      <c r="C77" s="272"/>
      <c r="D77" s="272"/>
      <c r="E77" s="272"/>
      <c r="F77" s="325"/>
      <c r="G77" s="325"/>
      <c r="H77" s="5"/>
    </row>
    <row r="78" spans="1:8" ht="18" x14ac:dyDescent="0.25">
      <c r="A78" s="272"/>
      <c r="B78" s="272"/>
      <c r="C78" s="272"/>
      <c r="D78" s="272"/>
      <c r="E78" s="272"/>
      <c r="F78" s="325"/>
      <c r="G78" s="325"/>
      <c r="H78" s="5"/>
    </row>
    <row r="79" spans="1:8" ht="18" x14ac:dyDescent="0.25">
      <c r="A79" s="272"/>
      <c r="B79" s="272"/>
      <c r="C79" s="272"/>
      <c r="D79" s="272"/>
      <c r="E79" s="272"/>
      <c r="F79" s="325"/>
      <c r="G79" s="325"/>
      <c r="H79" s="5"/>
    </row>
    <row r="80" spans="1:8" ht="18" x14ac:dyDescent="0.25">
      <c r="A80" s="272" t="s">
        <v>1052</v>
      </c>
      <c r="B80" s="272"/>
      <c r="C80" s="272"/>
      <c r="D80" s="283" t="s">
        <v>1055</v>
      </c>
      <c r="E80" s="283"/>
      <c r="F80" s="325"/>
      <c r="G80" s="325"/>
      <c r="H80" s="5"/>
    </row>
    <row r="81" spans="6:8" x14ac:dyDescent="0.25">
      <c r="F81" s="5"/>
      <c r="G81" s="5"/>
      <c r="H81" s="5"/>
    </row>
    <row r="82" spans="6:8" x14ac:dyDescent="0.25">
      <c r="F82" s="5"/>
      <c r="G82" s="5"/>
      <c r="H82" s="5"/>
    </row>
    <row r="83" spans="6:8" x14ac:dyDescent="0.25">
      <c r="F83" s="5"/>
      <c r="G83" s="5"/>
      <c r="H83" s="5"/>
    </row>
    <row r="84" spans="6:8" x14ac:dyDescent="0.25">
      <c r="F84" s="5"/>
      <c r="G84" s="5"/>
      <c r="H84" s="5"/>
    </row>
    <row r="85" spans="6:8" x14ac:dyDescent="0.25">
      <c r="F85" s="5"/>
      <c r="G85" s="5"/>
      <c r="H85" s="5"/>
    </row>
    <row r="86" spans="6:8" x14ac:dyDescent="0.25">
      <c r="F86" s="5"/>
      <c r="G86" s="5"/>
      <c r="H86" s="5"/>
    </row>
    <row r="87" spans="6:8" x14ac:dyDescent="0.25">
      <c r="F87" s="5"/>
      <c r="G87" s="5"/>
      <c r="H87" s="5"/>
    </row>
    <row r="88" spans="6:8" x14ac:dyDescent="0.25">
      <c r="F88" s="5"/>
      <c r="G88" s="5"/>
      <c r="H88" s="5"/>
    </row>
    <row r="89" spans="6:8" x14ac:dyDescent="0.25">
      <c r="F89" s="5"/>
      <c r="G89" s="5"/>
      <c r="H89" s="5"/>
    </row>
    <row r="90" spans="6:8" x14ac:dyDescent="0.25">
      <c r="F90" s="5"/>
      <c r="G90" s="5"/>
      <c r="H90" s="188"/>
    </row>
    <row r="91" spans="6:8" x14ac:dyDescent="0.25">
      <c r="F91" s="5"/>
      <c r="G91" s="5"/>
      <c r="H91" s="188"/>
    </row>
    <row r="92" spans="6:8" x14ac:dyDescent="0.25">
      <c r="F92" s="5"/>
      <c r="G92" s="5"/>
      <c r="H92" s="188"/>
    </row>
    <row r="93" spans="6:8" x14ac:dyDescent="0.25">
      <c r="F93" s="5"/>
      <c r="G93" s="5"/>
      <c r="H93" s="188"/>
    </row>
    <row r="94" spans="6:8" x14ac:dyDescent="0.25">
      <c r="F94" s="5"/>
      <c r="G94" s="5"/>
      <c r="H94" s="188"/>
    </row>
    <row r="95" spans="6:8" x14ac:dyDescent="0.25">
      <c r="F95" s="5"/>
      <c r="G95" s="5"/>
      <c r="H95" s="188"/>
    </row>
    <row r="96" spans="6:8" x14ac:dyDescent="0.25">
      <c r="F96" s="5"/>
      <c r="G96" s="5"/>
      <c r="H96" s="188"/>
    </row>
    <row r="97" spans="6:8" x14ac:dyDescent="0.25">
      <c r="F97" s="5"/>
      <c r="G97" s="5"/>
      <c r="H97" s="5"/>
    </row>
    <row r="98" spans="6:8" x14ac:dyDescent="0.25">
      <c r="F98" s="5"/>
      <c r="G98" s="5"/>
      <c r="H98" s="5"/>
    </row>
    <row r="99" spans="6:8" x14ac:dyDescent="0.25">
      <c r="F99" s="5"/>
      <c r="G99" s="5"/>
      <c r="H99" s="5"/>
    </row>
    <row r="100" spans="6:8" x14ac:dyDescent="0.25">
      <c r="F100" s="5"/>
      <c r="G100" s="5"/>
      <c r="H100" s="5"/>
    </row>
    <row r="101" spans="6:8" x14ac:dyDescent="0.25">
      <c r="F101" s="5"/>
      <c r="G101" s="5"/>
      <c r="H101" s="5"/>
    </row>
    <row r="102" spans="6:8" x14ac:dyDescent="0.25">
      <c r="F102" s="5"/>
      <c r="G102" s="5"/>
      <c r="H102" s="5"/>
    </row>
    <row r="103" spans="6:8" x14ac:dyDescent="0.25">
      <c r="F103" s="5"/>
      <c r="G103" s="5"/>
      <c r="H103" s="5"/>
    </row>
    <row r="104" spans="6:8" x14ac:dyDescent="0.25">
      <c r="F104" s="13"/>
      <c r="G104" s="13"/>
      <c r="H104" s="13"/>
    </row>
    <row r="105" spans="6:8" x14ac:dyDescent="0.25">
      <c r="F105" s="5"/>
      <c r="G105" s="5"/>
      <c r="H105" s="5"/>
    </row>
    <row r="106" spans="6:8" x14ac:dyDescent="0.25">
      <c r="F106" s="5"/>
      <c r="G106" s="5"/>
      <c r="H106" s="5"/>
    </row>
    <row r="107" spans="6:8" x14ac:dyDescent="0.25">
      <c r="F107" s="5"/>
      <c r="G107" s="5"/>
      <c r="H107" s="5"/>
    </row>
    <row r="108" spans="6:8" x14ac:dyDescent="0.25">
      <c r="F108" s="5"/>
      <c r="G108" s="5"/>
      <c r="H108" s="5"/>
    </row>
    <row r="109" spans="6:8" x14ac:dyDescent="0.25">
      <c r="F109" s="5"/>
      <c r="G109" s="5"/>
      <c r="H109" s="5"/>
    </row>
    <row r="110" spans="6:8" x14ac:dyDescent="0.25">
      <c r="F110" s="5"/>
      <c r="G110" s="5"/>
      <c r="H110" s="5"/>
    </row>
    <row r="121" spans="6:8" ht="16.5" x14ac:dyDescent="0.3">
      <c r="F121" s="2"/>
      <c r="G121" s="275"/>
      <c r="H121" s="275"/>
    </row>
    <row r="122" spans="6:8" ht="16.5" x14ac:dyDescent="0.3">
      <c r="F122" s="2"/>
      <c r="G122" s="2"/>
      <c r="H122" s="2"/>
    </row>
    <row r="123" spans="6:8" ht="16.5" x14ac:dyDescent="0.3">
      <c r="F123" s="2"/>
      <c r="G123" s="275"/>
      <c r="H123" s="275"/>
    </row>
    <row r="124" spans="6:8" ht="16.5" x14ac:dyDescent="0.3">
      <c r="F124" s="2"/>
      <c r="G124" s="2"/>
      <c r="H124" s="2"/>
    </row>
    <row r="125" spans="6:8" ht="16.5" x14ac:dyDescent="0.3">
      <c r="F125" s="2"/>
      <c r="G125" s="2"/>
      <c r="H125" s="2"/>
    </row>
    <row r="126" spans="6:8" ht="16.5" x14ac:dyDescent="0.3">
      <c r="F126" s="2"/>
      <c r="G126" s="275"/>
      <c r="H126" s="275"/>
    </row>
  </sheetData>
  <sortState ref="B11:E63">
    <sortCondition descending="1" ref="E11:E63"/>
  </sortState>
  <mergeCells count="12">
    <mergeCell ref="G126:H126"/>
    <mergeCell ref="B64:E64"/>
    <mergeCell ref="C2:E2"/>
    <mergeCell ref="B5:G5"/>
    <mergeCell ref="C6:G6"/>
    <mergeCell ref="B9:E9"/>
    <mergeCell ref="A7:G8"/>
    <mergeCell ref="D74:E74"/>
    <mergeCell ref="D76:E76"/>
    <mergeCell ref="D80:E80"/>
    <mergeCell ref="G121:H121"/>
    <mergeCell ref="G123:H123"/>
  </mergeCells>
  <printOptions horizontalCentered="1"/>
  <pageMargins left="0.70866141732283472" right="0.70866141732283472" top="0.74803149606299213" bottom="0.74803149606299213" header="0.31496062992125984" footer="0.31496062992125984"/>
  <pageSetup scale="9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H101"/>
  <sheetViews>
    <sheetView topLeftCell="A32" workbookViewId="0">
      <selection activeCell="B50" sqref="B50"/>
    </sheetView>
  </sheetViews>
  <sheetFormatPr baseColWidth="10" defaultColWidth="11.42578125" defaultRowHeight="16.5" x14ac:dyDescent="0.3"/>
  <cols>
    <col min="1" max="1" width="6.42578125" style="2" customWidth="1"/>
    <col min="2" max="2" width="34" style="4" customWidth="1"/>
    <col min="3" max="3" width="13.140625" style="4" customWidth="1"/>
    <col min="4" max="4" width="11.42578125" style="4" customWidth="1"/>
    <col min="5" max="5" width="11.7109375" style="4" customWidth="1"/>
    <col min="6" max="6" width="11.42578125" style="2" customWidth="1"/>
    <col min="7" max="16384" width="11.42578125" style="2"/>
  </cols>
  <sheetData>
    <row r="1" spans="1:7" x14ac:dyDescent="0.3">
      <c r="A1" s="1" t="s">
        <v>929</v>
      </c>
      <c r="B1" s="6"/>
      <c r="C1" s="36" t="s">
        <v>5</v>
      </c>
      <c r="D1" s="36"/>
      <c r="E1" s="33"/>
      <c r="F1" s="33"/>
    </row>
    <row r="2" spans="1:7" x14ac:dyDescent="0.3">
      <c r="A2" s="1" t="s">
        <v>930</v>
      </c>
      <c r="B2" s="6"/>
      <c r="C2" s="33" t="s">
        <v>6</v>
      </c>
      <c r="D2" s="33"/>
      <c r="E2" s="33"/>
      <c r="F2" s="33"/>
    </row>
    <row r="3" spans="1:7" x14ac:dyDescent="0.3">
      <c r="A3" s="1" t="s">
        <v>931</v>
      </c>
      <c r="B3" s="6"/>
      <c r="C3" s="33"/>
      <c r="D3" s="33"/>
      <c r="E3" s="33"/>
      <c r="F3" s="33"/>
    </row>
    <row r="4" spans="1:7" x14ac:dyDescent="0.3">
      <c r="A4" s="1" t="s">
        <v>932</v>
      </c>
      <c r="B4" s="6"/>
      <c r="C4" s="33"/>
      <c r="D4" s="33"/>
      <c r="E4" s="33"/>
      <c r="F4" s="33"/>
    </row>
    <row r="5" spans="1:7" x14ac:dyDescent="0.3">
      <c r="A5" s="1"/>
      <c r="B5" s="279" t="s">
        <v>934</v>
      </c>
      <c r="C5" s="279"/>
      <c r="D5" s="279"/>
      <c r="E5" s="279"/>
      <c r="F5" s="279"/>
      <c r="G5" s="279"/>
    </row>
    <row r="6" spans="1:7" ht="18" x14ac:dyDescent="0.3">
      <c r="A6" s="1"/>
      <c r="B6" s="290" t="s">
        <v>107</v>
      </c>
      <c r="C6" s="290"/>
      <c r="D6" s="290"/>
      <c r="E6" s="290"/>
      <c r="F6" s="290"/>
      <c r="G6" s="290"/>
    </row>
    <row r="7" spans="1:7" ht="16.5" customHeight="1" x14ac:dyDescent="0.3">
      <c r="A7" s="1"/>
      <c r="B7" s="280" t="s">
        <v>949</v>
      </c>
      <c r="C7" s="280"/>
      <c r="D7" s="280"/>
      <c r="E7" s="280"/>
      <c r="F7" s="280"/>
      <c r="G7" s="280"/>
    </row>
    <row r="8" spans="1:7" x14ac:dyDescent="0.3">
      <c r="A8" s="1"/>
      <c r="B8" s="280"/>
      <c r="C8" s="280"/>
      <c r="D8" s="280"/>
      <c r="E8" s="280"/>
      <c r="F8" s="280"/>
      <c r="G8" s="280"/>
    </row>
    <row r="9" spans="1:7" x14ac:dyDescent="0.3">
      <c r="B9" s="279"/>
      <c r="C9" s="279"/>
      <c r="D9" s="279"/>
      <c r="E9" s="279"/>
      <c r="F9" s="279"/>
      <c r="G9" s="279"/>
    </row>
    <row r="10" spans="1:7" x14ac:dyDescent="0.3">
      <c r="B10" s="285"/>
      <c r="C10" s="285"/>
      <c r="D10" s="285"/>
      <c r="E10" s="285"/>
      <c r="F10" s="285"/>
      <c r="G10" s="285"/>
    </row>
    <row r="11" spans="1:7" s="8" customFormat="1" ht="19.5" customHeight="1" x14ac:dyDescent="0.2">
      <c r="A11" s="288" t="s">
        <v>106</v>
      </c>
      <c r="B11" s="286" t="s">
        <v>0</v>
      </c>
      <c r="C11" s="286" t="s">
        <v>208</v>
      </c>
      <c r="D11" s="286" t="s">
        <v>209</v>
      </c>
      <c r="E11" s="286" t="s">
        <v>210</v>
      </c>
    </row>
    <row r="12" spans="1:7" s="8" customFormat="1" ht="21.75" customHeight="1" x14ac:dyDescent="0.2">
      <c r="A12" s="289"/>
      <c r="B12" s="287"/>
      <c r="C12" s="287"/>
      <c r="D12" s="287"/>
      <c r="E12" s="287"/>
    </row>
    <row r="13" spans="1:7" s="8" customFormat="1" ht="15.75" x14ac:dyDescent="0.2">
      <c r="A13" s="14" t="s">
        <v>385</v>
      </c>
      <c r="B13" s="206" t="s">
        <v>521</v>
      </c>
      <c r="C13" s="207">
        <v>14.3</v>
      </c>
      <c r="D13" s="207">
        <v>12.75</v>
      </c>
      <c r="E13" s="207">
        <v>13.266666666666666</v>
      </c>
    </row>
    <row r="14" spans="1:7" s="5" customFormat="1" ht="15.75" customHeight="1" x14ac:dyDescent="0.2">
      <c r="A14" s="25" t="s">
        <v>318</v>
      </c>
      <c r="B14" s="206" t="s">
        <v>537</v>
      </c>
      <c r="C14" s="208">
        <v>14</v>
      </c>
      <c r="D14" s="208">
        <v>12.583333333333334</v>
      </c>
      <c r="E14" s="208">
        <v>13.055555555555557</v>
      </c>
    </row>
    <row r="15" spans="1:7" s="5" customFormat="1" ht="17.25" customHeight="1" x14ac:dyDescent="0.2">
      <c r="A15" s="27" t="s">
        <v>319</v>
      </c>
      <c r="B15" s="206" t="s">
        <v>533</v>
      </c>
      <c r="C15" s="207">
        <v>14.5</v>
      </c>
      <c r="D15" s="207">
        <v>12.25</v>
      </c>
      <c r="E15" s="207">
        <v>13</v>
      </c>
    </row>
    <row r="16" spans="1:7" s="5" customFormat="1" ht="17.25" customHeight="1" x14ac:dyDescent="0.2">
      <c r="A16" s="27" t="s">
        <v>320</v>
      </c>
      <c r="B16" s="206" t="s">
        <v>523</v>
      </c>
      <c r="C16" s="207">
        <v>14.2</v>
      </c>
      <c r="D16" s="207">
        <v>12.25</v>
      </c>
      <c r="E16" s="207">
        <v>12.9</v>
      </c>
    </row>
    <row r="17" spans="1:5" s="5" customFormat="1" ht="15.75" customHeight="1" x14ac:dyDescent="0.2">
      <c r="A17" s="27" t="s">
        <v>321</v>
      </c>
      <c r="B17" s="206" t="s">
        <v>520</v>
      </c>
      <c r="C17" s="207">
        <v>14.7</v>
      </c>
      <c r="D17" s="207">
        <v>11.5</v>
      </c>
      <c r="E17" s="207">
        <v>12.566666666666668</v>
      </c>
    </row>
    <row r="18" spans="1:5" s="5" customFormat="1" ht="18" customHeight="1" x14ac:dyDescent="0.2">
      <c r="A18" s="27" t="s">
        <v>322</v>
      </c>
      <c r="B18" s="206" t="s">
        <v>534</v>
      </c>
      <c r="C18" s="207">
        <v>14.4</v>
      </c>
      <c r="D18" s="38">
        <v>11.416666666666666</v>
      </c>
      <c r="E18" s="38">
        <v>12.411111111111111</v>
      </c>
    </row>
    <row r="19" spans="1:5" s="5" customFormat="1" ht="15.75" x14ac:dyDescent="0.2">
      <c r="A19" s="27" t="s">
        <v>323</v>
      </c>
      <c r="B19" s="206" t="s">
        <v>542</v>
      </c>
      <c r="C19" s="207">
        <v>13.5</v>
      </c>
      <c r="D19" s="207">
        <v>11.5</v>
      </c>
      <c r="E19" s="207">
        <v>12.166666666666666</v>
      </c>
    </row>
    <row r="20" spans="1:5" s="5" customFormat="1" ht="15.75" x14ac:dyDescent="0.2">
      <c r="A20" s="27" t="s">
        <v>324</v>
      </c>
      <c r="B20" s="206" t="s">
        <v>527</v>
      </c>
      <c r="C20" s="38">
        <v>14.9</v>
      </c>
      <c r="D20" s="38">
        <v>10.583333333333334</v>
      </c>
      <c r="E20" s="38">
        <v>12.022222222222224</v>
      </c>
    </row>
    <row r="21" spans="1:5" s="5" customFormat="1" ht="16.5" customHeight="1" x14ac:dyDescent="0.2">
      <c r="A21" s="27" t="s">
        <v>325</v>
      </c>
      <c r="B21" s="206" t="s">
        <v>538</v>
      </c>
      <c r="C21" s="38">
        <v>14</v>
      </c>
      <c r="D21" s="38">
        <v>10.833333333333334</v>
      </c>
      <c r="E21" s="38">
        <v>11.888888888888891</v>
      </c>
    </row>
    <row r="22" spans="1:5" s="5" customFormat="1" ht="17.25" customHeight="1" x14ac:dyDescent="0.2">
      <c r="A22" s="27" t="s">
        <v>326</v>
      </c>
      <c r="B22" s="206" t="s">
        <v>540</v>
      </c>
      <c r="C22" s="207">
        <v>14.8</v>
      </c>
      <c r="D22" s="207">
        <v>10.333333333333334</v>
      </c>
      <c r="E22" s="207">
        <v>11.822222222222223</v>
      </c>
    </row>
    <row r="23" spans="1:5" s="5" customFormat="1" ht="21" customHeight="1" x14ac:dyDescent="0.2">
      <c r="A23" s="27" t="s">
        <v>327</v>
      </c>
      <c r="B23" s="206" t="s">
        <v>525</v>
      </c>
      <c r="C23" s="207">
        <v>13.7</v>
      </c>
      <c r="D23" s="207">
        <v>10.833333333333334</v>
      </c>
      <c r="E23" s="207">
        <v>11.78888888888889</v>
      </c>
    </row>
    <row r="24" spans="1:5" s="5" customFormat="1" ht="17.25" customHeight="1" x14ac:dyDescent="0.2">
      <c r="A24" s="27" t="s">
        <v>328</v>
      </c>
      <c r="B24" s="206" t="s">
        <v>524</v>
      </c>
      <c r="C24" s="38">
        <v>12.8</v>
      </c>
      <c r="D24" s="38">
        <v>11.166666666666666</v>
      </c>
      <c r="E24" s="38">
        <v>11.71111111111111</v>
      </c>
    </row>
    <row r="25" spans="1:5" s="5" customFormat="1" ht="18" customHeight="1" x14ac:dyDescent="0.2">
      <c r="A25" s="27" t="s">
        <v>329</v>
      </c>
      <c r="B25" s="206" t="s">
        <v>518</v>
      </c>
      <c r="C25" s="207">
        <v>13.4</v>
      </c>
      <c r="D25" s="207">
        <v>10.833333333333334</v>
      </c>
      <c r="E25" s="207">
        <v>11.68888888888889</v>
      </c>
    </row>
    <row r="26" spans="1:5" s="5" customFormat="1" ht="18" customHeight="1" x14ac:dyDescent="0.2">
      <c r="A26" s="27" t="s">
        <v>331</v>
      </c>
      <c r="B26" s="206" t="s">
        <v>530</v>
      </c>
      <c r="C26" s="207">
        <v>13.7</v>
      </c>
      <c r="D26" s="207">
        <v>10.666666666666666</v>
      </c>
      <c r="E26" s="207">
        <v>11.6777777777778</v>
      </c>
    </row>
    <row r="27" spans="1:5" s="5" customFormat="1" ht="16.5" customHeight="1" x14ac:dyDescent="0.2">
      <c r="A27" s="27" t="s">
        <v>330</v>
      </c>
      <c r="B27" s="206" t="s">
        <v>544</v>
      </c>
      <c r="C27" s="207">
        <v>13.8</v>
      </c>
      <c r="D27" s="207">
        <v>10.333333333333334</v>
      </c>
      <c r="E27" s="38">
        <v>11.488888888888889</v>
      </c>
    </row>
    <row r="28" spans="1:5" s="5" customFormat="1" ht="16.5" customHeight="1" x14ac:dyDescent="0.2">
      <c r="A28" s="27" t="s">
        <v>332</v>
      </c>
      <c r="B28" s="206" t="s">
        <v>531</v>
      </c>
      <c r="C28" s="207">
        <v>12.4</v>
      </c>
      <c r="D28" s="207">
        <v>10.583333333333334</v>
      </c>
      <c r="E28" s="207">
        <v>11.18888888888889</v>
      </c>
    </row>
    <row r="29" spans="1:5" s="5" customFormat="1" ht="17.25" customHeight="1" x14ac:dyDescent="0.2">
      <c r="A29" s="27" t="s">
        <v>333</v>
      </c>
      <c r="B29" s="206" t="s">
        <v>543</v>
      </c>
      <c r="C29" s="207">
        <v>14</v>
      </c>
      <c r="D29" s="38">
        <v>9.5833333333333339</v>
      </c>
      <c r="E29" s="38">
        <v>11.055555555555557</v>
      </c>
    </row>
    <row r="30" spans="1:5" s="5" customFormat="1" ht="18" customHeight="1" x14ac:dyDescent="0.2">
      <c r="A30" s="27" t="s">
        <v>334</v>
      </c>
      <c r="B30" s="206" t="s">
        <v>516</v>
      </c>
      <c r="C30" s="38">
        <v>11.9</v>
      </c>
      <c r="D30" s="38">
        <v>10.166666666666666</v>
      </c>
      <c r="E30" s="38">
        <v>10.744444444444445</v>
      </c>
    </row>
    <row r="31" spans="1:5" s="5" customFormat="1" ht="18" customHeight="1" x14ac:dyDescent="0.2">
      <c r="A31" s="27" t="s">
        <v>335</v>
      </c>
      <c r="B31" s="206" t="s">
        <v>519</v>
      </c>
      <c r="C31" s="207">
        <v>12.7</v>
      </c>
      <c r="D31" s="38">
        <v>9.5</v>
      </c>
      <c r="E31" s="38">
        <v>10.566666666666666</v>
      </c>
    </row>
    <row r="32" spans="1:5" s="5" customFormat="1" ht="18" customHeight="1" x14ac:dyDescent="0.2">
      <c r="A32" s="27" t="s">
        <v>336</v>
      </c>
      <c r="B32" s="206" t="s">
        <v>528</v>
      </c>
      <c r="C32" s="207">
        <v>13.3</v>
      </c>
      <c r="D32" s="207">
        <v>8.6666666666666661</v>
      </c>
      <c r="E32" s="38">
        <v>10.21111111111111</v>
      </c>
    </row>
    <row r="33" spans="1:6" s="5" customFormat="1" ht="18.75" customHeight="1" x14ac:dyDescent="0.2">
      <c r="A33" s="27" t="s">
        <v>337</v>
      </c>
      <c r="B33" s="206" t="s">
        <v>532</v>
      </c>
      <c r="C33" s="38">
        <v>11.5</v>
      </c>
      <c r="D33" s="38">
        <v>9.25</v>
      </c>
      <c r="E33" s="38">
        <v>10</v>
      </c>
    </row>
    <row r="34" spans="1:6" s="5" customFormat="1" ht="18" customHeight="1" x14ac:dyDescent="0.2">
      <c r="A34" s="27" t="s">
        <v>338</v>
      </c>
      <c r="B34" s="206" t="s">
        <v>535</v>
      </c>
      <c r="C34" s="207">
        <v>12.1</v>
      </c>
      <c r="D34" s="207">
        <v>7.75</v>
      </c>
      <c r="E34" s="207">
        <v>9.2000000000000011</v>
      </c>
    </row>
    <row r="35" spans="1:6" s="5" customFormat="1" ht="18" customHeight="1" x14ac:dyDescent="0.2">
      <c r="A35" s="27" t="s">
        <v>339</v>
      </c>
      <c r="B35" s="206" t="s">
        <v>522</v>
      </c>
      <c r="C35" s="207">
        <v>10.7</v>
      </c>
      <c r="D35" s="207">
        <v>8.1666666666666661</v>
      </c>
      <c r="E35" s="207">
        <v>9.0111111111111111</v>
      </c>
    </row>
    <row r="36" spans="1:6" s="5" customFormat="1" ht="18" customHeight="1" x14ac:dyDescent="0.2">
      <c r="A36" s="27" t="s">
        <v>340</v>
      </c>
      <c r="B36" s="206" t="s">
        <v>541</v>
      </c>
      <c r="C36" s="38">
        <v>11.1</v>
      </c>
      <c r="D36" s="38">
        <v>7.166666666666667</v>
      </c>
      <c r="E36" s="38">
        <v>8.4777777777777779</v>
      </c>
    </row>
    <row r="37" spans="1:6" s="5" customFormat="1" ht="18" customHeight="1" x14ac:dyDescent="0.2">
      <c r="A37" s="27" t="s">
        <v>341</v>
      </c>
      <c r="B37" s="206" t="s">
        <v>526</v>
      </c>
      <c r="C37" s="207">
        <v>10</v>
      </c>
      <c r="D37" s="207">
        <v>7.666666666666667</v>
      </c>
      <c r="E37" s="207">
        <v>8.4444444444444446</v>
      </c>
    </row>
    <row r="38" spans="1:6" s="5" customFormat="1" ht="18" customHeight="1" x14ac:dyDescent="0.2">
      <c r="A38" s="27" t="s">
        <v>342</v>
      </c>
      <c r="B38" s="206" t="s">
        <v>529</v>
      </c>
      <c r="C38" s="207">
        <v>9.8000000000000007</v>
      </c>
      <c r="D38" s="207">
        <v>7.5</v>
      </c>
      <c r="E38" s="207">
        <v>8.2666666666666675</v>
      </c>
    </row>
    <row r="39" spans="1:6" s="5" customFormat="1" ht="19.5" customHeight="1" x14ac:dyDescent="0.2">
      <c r="A39" s="27" t="s">
        <v>343</v>
      </c>
      <c r="B39" s="206" t="s">
        <v>539</v>
      </c>
      <c r="C39" s="207">
        <v>10.6</v>
      </c>
      <c r="D39" s="207">
        <v>6.833333333333333</v>
      </c>
      <c r="E39" s="207">
        <v>8.0888888888888886</v>
      </c>
    </row>
    <row r="40" spans="1:6" s="5" customFormat="1" ht="18" customHeight="1" x14ac:dyDescent="0.2">
      <c r="A40" s="27" t="s">
        <v>344</v>
      </c>
      <c r="B40" s="206" t="s">
        <v>515</v>
      </c>
      <c r="C40" s="207">
        <v>12.4</v>
      </c>
      <c r="D40" s="207">
        <v>5.916666666666667</v>
      </c>
      <c r="E40" s="207">
        <v>8.0777777777777775</v>
      </c>
    </row>
    <row r="41" spans="1:6" s="5" customFormat="1" ht="18" customHeight="1" x14ac:dyDescent="0.2">
      <c r="A41" s="27" t="s">
        <v>345</v>
      </c>
      <c r="B41" s="206" t="s">
        <v>536</v>
      </c>
      <c r="C41" s="207">
        <v>10.6</v>
      </c>
      <c r="D41" s="207">
        <v>6.416666666666667</v>
      </c>
      <c r="E41" s="207">
        <v>7.8111111111111109</v>
      </c>
    </row>
    <row r="42" spans="1:6" s="5" customFormat="1" ht="18" customHeight="1" x14ac:dyDescent="0.2">
      <c r="A42" s="27" t="s">
        <v>346</v>
      </c>
      <c r="B42" s="206" t="s">
        <v>517</v>
      </c>
      <c r="C42" s="207">
        <v>11.1</v>
      </c>
      <c r="D42" s="207">
        <v>3.1666666666666665</v>
      </c>
      <c r="E42" s="38">
        <v>5.8111111111111109</v>
      </c>
    </row>
    <row r="43" spans="1:6" s="5" customFormat="1" ht="18.75" customHeight="1" x14ac:dyDescent="0.2"/>
    <row r="44" spans="1:6" s="5" customFormat="1" ht="18.75" customHeight="1" x14ac:dyDescent="0.3">
      <c r="B44" s="2"/>
      <c r="C44" s="281" t="s">
        <v>392</v>
      </c>
      <c r="D44" s="281"/>
      <c r="E44" s="281"/>
      <c r="F44" s="281"/>
    </row>
    <row r="45" spans="1:6" s="5" customFormat="1" ht="18" customHeight="1" x14ac:dyDescent="0.3">
      <c r="B45" s="2"/>
      <c r="C45" s="2"/>
      <c r="D45" s="2"/>
      <c r="E45" s="2"/>
      <c r="F45" s="2"/>
    </row>
    <row r="46" spans="1:6" s="5" customFormat="1" ht="18.75" customHeight="1" x14ac:dyDescent="0.3">
      <c r="B46" s="2"/>
      <c r="C46" s="2"/>
      <c r="D46" s="47" t="s">
        <v>393</v>
      </c>
      <c r="E46" s="47" t="s">
        <v>394</v>
      </c>
      <c r="F46" s="47" t="s">
        <v>395</v>
      </c>
    </row>
    <row r="47" spans="1:6" s="5" customFormat="1" ht="18.75" customHeight="1" x14ac:dyDescent="0.3">
      <c r="B47" s="2"/>
      <c r="C47" s="48" t="s">
        <v>396</v>
      </c>
      <c r="D47" s="49">
        <v>22</v>
      </c>
      <c r="E47" s="49">
        <v>8</v>
      </c>
      <c r="F47" s="49">
        <v>30</v>
      </c>
    </row>
    <row r="48" spans="1:6" s="5" customFormat="1" ht="18.75" customHeight="1" x14ac:dyDescent="0.3">
      <c r="B48" s="2"/>
      <c r="C48" s="10" t="s">
        <v>397</v>
      </c>
      <c r="D48" s="49">
        <v>22</v>
      </c>
      <c r="E48" s="49">
        <v>8</v>
      </c>
      <c r="F48" s="49">
        <v>30</v>
      </c>
    </row>
    <row r="49" spans="2:6" s="5" customFormat="1" ht="18" customHeight="1" x14ac:dyDescent="0.3">
      <c r="B49" s="2"/>
      <c r="C49" s="10" t="s">
        <v>398</v>
      </c>
      <c r="D49" s="49">
        <v>0</v>
      </c>
      <c r="E49" s="49">
        <v>0</v>
      </c>
      <c r="F49" s="49">
        <v>0</v>
      </c>
    </row>
    <row r="50" spans="2:6" s="5" customFormat="1" ht="18.75" customHeight="1" x14ac:dyDescent="0.3">
      <c r="B50" s="2"/>
      <c r="C50" s="10" t="s">
        <v>399</v>
      </c>
      <c r="D50" s="49">
        <v>15</v>
      </c>
      <c r="E50" s="49">
        <v>6</v>
      </c>
      <c r="F50" s="49">
        <v>21</v>
      </c>
    </row>
    <row r="51" spans="2:6" s="5" customFormat="1" ht="22.5" customHeight="1" x14ac:dyDescent="0.3">
      <c r="B51" s="2"/>
      <c r="C51" s="10" t="s">
        <v>400</v>
      </c>
      <c r="D51" s="49">
        <v>7</v>
      </c>
      <c r="E51" s="49">
        <v>2</v>
      </c>
      <c r="F51" s="49">
        <v>9</v>
      </c>
    </row>
    <row r="52" spans="2:6" s="5" customFormat="1" ht="19.5" customHeight="1" x14ac:dyDescent="0.3">
      <c r="B52" s="2"/>
      <c r="C52" s="10" t="s">
        <v>401</v>
      </c>
      <c r="D52" s="50">
        <f>+D50/D47</f>
        <v>0.68181818181818177</v>
      </c>
      <c r="E52" s="50">
        <f>+E50/E47</f>
        <v>0.75</v>
      </c>
      <c r="F52" s="50">
        <f>+F50/F47</f>
        <v>0.7</v>
      </c>
    </row>
    <row r="53" spans="2:6" s="5" customFormat="1" ht="17.25" customHeight="1" x14ac:dyDescent="0.25">
      <c r="B53"/>
      <c r="C53"/>
      <c r="D53"/>
      <c r="E53"/>
      <c r="F53"/>
    </row>
    <row r="54" spans="2:6" s="5" customFormat="1" ht="18" customHeight="1" x14ac:dyDescent="0.3">
      <c r="B54" s="2"/>
      <c r="C54" s="2"/>
      <c r="D54" s="2"/>
      <c r="E54" s="2"/>
      <c r="F54" s="2"/>
    </row>
    <row r="55" spans="2:6" s="5" customFormat="1" ht="21" customHeight="1" x14ac:dyDescent="0.3">
      <c r="B55" s="2"/>
      <c r="C55" s="2"/>
      <c r="D55" s="2"/>
      <c r="E55" s="2"/>
      <c r="F55" s="2"/>
    </row>
    <row r="56" spans="2:6" s="5" customFormat="1" ht="17.25" customHeight="1" x14ac:dyDescent="0.3">
      <c r="B56" s="275"/>
      <c r="C56" s="275"/>
      <c r="D56" s="2"/>
      <c r="E56" s="2"/>
      <c r="F56" s="2"/>
    </row>
    <row r="57" spans="2:6" s="5" customFormat="1" ht="16.5" customHeight="1" x14ac:dyDescent="0.3">
      <c r="B57" s="2"/>
      <c r="C57" s="2"/>
      <c r="D57" s="15" t="s">
        <v>925</v>
      </c>
      <c r="E57" s="241"/>
      <c r="F57" s="53"/>
    </row>
    <row r="58" spans="2:6" x14ac:dyDescent="0.3">
      <c r="B58" s="2"/>
      <c r="C58" s="2"/>
      <c r="D58" s="2"/>
      <c r="E58" s="2"/>
    </row>
    <row r="59" spans="2:6" x14ac:dyDescent="0.3">
      <c r="B59" s="285" t="s">
        <v>921</v>
      </c>
      <c r="C59" s="285"/>
      <c r="D59" s="15"/>
      <c r="E59" s="15" t="s">
        <v>404</v>
      </c>
      <c r="F59" s="15"/>
    </row>
    <row r="60" spans="2:6" x14ac:dyDescent="0.3">
      <c r="B60" s="15"/>
      <c r="C60" s="15"/>
      <c r="D60" s="15"/>
      <c r="E60" s="15"/>
      <c r="F60" s="15"/>
    </row>
    <row r="61" spans="2:6" x14ac:dyDescent="0.3">
      <c r="B61" s="15"/>
      <c r="C61" s="15"/>
      <c r="D61" s="15"/>
      <c r="E61" s="15"/>
      <c r="F61" s="15"/>
    </row>
    <row r="62" spans="2:6" ht="17.25" customHeight="1" x14ac:dyDescent="0.3"/>
    <row r="63" spans="2:6" x14ac:dyDescent="0.3">
      <c r="B63" s="2"/>
      <c r="C63" s="2"/>
      <c r="D63" s="2"/>
      <c r="E63" s="2"/>
    </row>
    <row r="64" spans="2:6" x14ac:dyDescent="0.3">
      <c r="B64" s="285" t="s">
        <v>922</v>
      </c>
      <c r="C64" s="285"/>
      <c r="D64" s="15"/>
      <c r="E64" s="15" t="s">
        <v>8</v>
      </c>
      <c r="F64" s="15"/>
    </row>
    <row r="65" s="2" customFormat="1" x14ac:dyDescent="0.3"/>
    <row r="66" s="2" customFormat="1" x14ac:dyDescent="0.3"/>
    <row r="67" s="2" customFormat="1" x14ac:dyDescent="0.3"/>
    <row r="68" s="2" customFormat="1" x14ac:dyDescent="0.3"/>
    <row r="69" s="2" customFormat="1" x14ac:dyDescent="0.3"/>
    <row r="70" s="2" customFormat="1" x14ac:dyDescent="0.3"/>
    <row r="71" s="2" customFormat="1" x14ac:dyDescent="0.3"/>
    <row r="72" s="2" customFormat="1" x14ac:dyDescent="0.3"/>
    <row r="73" s="2" customFormat="1" x14ac:dyDescent="0.3"/>
    <row r="74" s="2" customFormat="1" x14ac:dyDescent="0.3"/>
    <row r="75" s="2" customFormat="1" x14ac:dyDescent="0.3"/>
    <row r="76" s="2" customFormat="1" x14ac:dyDescent="0.3"/>
    <row r="77" s="2" customFormat="1" x14ac:dyDescent="0.3"/>
    <row r="78" s="2" customFormat="1" x14ac:dyDescent="0.3"/>
    <row r="79" s="2" customFormat="1" x14ac:dyDescent="0.3"/>
    <row r="80" s="2" customFormat="1" x14ac:dyDescent="0.3"/>
    <row r="81" spans="1:8" x14ac:dyDescent="0.3">
      <c r="A81" s="16"/>
      <c r="B81" s="17"/>
      <c r="C81" s="51"/>
      <c r="D81" s="51"/>
      <c r="E81" s="52"/>
    </row>
    <row r="82" spans="1:8" x14ac:dyDescent="0.3">
      <c r="A82" s="16"/>
      <c r="B82" s="17"/>
      <c r="C82" s="51"/>
      <c r="D82" s="51"/>
      <c r="E82" s="52"/>
    </row>
    <row r="83" spans="1:8" x14ac:dyDescent="0.3">
      <c r="A83" s="16"/>
      <c r="B83" s="17"/>
      <c r="C83" s="51"/>
      <c r="D83" s="51"/>
      <c r="E83" s="52"/>
    </row>
    <row r="84" spans="1:8" x14ac:dyDescent="0.3">
      <c r="A84" s="15"/>
    </row>
    <row r="85" spans="1:8" x14ac:dyDescent="0.3">
      <c r="B85" s="281"/>
      <c r="C85" s="281"/>
      <c r="D85" s="281"/>
      <c r="E85" s="281"/>
      <c r="F85"/>
      <c r="G85"/>
      <c r="H85"/>
    </row>
    <row r="86" spans="1:8" x14ac:dyDescent="0.3">
      <c r="A86"/>
      <c r="B86"/>
      <c r="C86"/>
      <c r="D86" s="2"/>
      <c r="E86" s="2"/>
    </row>
    <row r="87" spans="1:8" x14ac:dyDescent="0.3">
      <c r="A87"/>
      <c r="B87"/>
      <c r="C87"/>
      <c r="D87" s="2"/>
      <c r="E87" s="2"/>
    </row>
    <row r="88" spans="1:8" x14ac:dyDescent="0.3">
      <c r="A88"/>
      <c r="B88"/>
      <c r="C88"/>
      <c r="D88" s="2"/>
      <c r="E88" s="2"/>
    </row>
    <row r="89" spans="1:8" x14ac:dyDescent="0.3">
      <c r="A89"/>
      <c r="B89"/>
      <c r="C89"/>
      <c r="D89" s="2"/>
      <c r="E89" s="2"/>
    </row>
    <row r="90" spans="1:8" x14ac:dyDescent="0.3">
      <c r="A90"/>
      <c r="B90"/>
      <c r="C90"/>
      <c r="D90" s="2"/>
      <c r="E90" s="2"/>
    </row>
    <row r="91" spans="1:8" x14ac:dyDescent="0.3">
      <c r="A91"/>
      <c r="B91"/>
      <c r="C91"/>
      <c r="D91" s="2"/>
      <c r="E91" s="2"/>
    </row>
    <row r="92" spans="1:8" x14ac:dyDescent="0.3">
      <c r="A92"/>
      <c r="B92"/>
      <c r="C92"/>
      <c r="D92" s="2"/>
      <c r="E92" s="2"/>
    </row>
    <row r="93" spans="1:8" x14ac:dyDescent="0.3">
      <c r="A93"/>
      <c r="B93"/>
      <c r="C93"/>
      <c r="D93" s="2"/>
      <c r="E93" s="2"/>
    </row>
    <row r="94" spans="1:8" x14ac:dyDescent="0.3">
      <c r="A94"/>
      <c r="B94"/>
      <c r="C94"/>
      <c r="D94" s="2"/>
      <c r="E94" s="2"/>
    </row>
    <row r="95" spans="1:8" x14ac:dyDescent="0.3">
      <c r="B95" s="275"/>
      <c r="C95" s="275"/>
      <c r="D95" s="2"/>
      <c r="E95" s="2"/>
    </row>
    <row r="96" spans="1:8" x14ac:dyDescent="0.3">
      <c r="B96" s="2"/>
      <c r="C96" s="2"/>
      <c r="D96" s="2"/>
      <c r="E96" s="2"/>
    </row>
    <row r="97" spans="2:5" x14ac:dyDescent="0.3">
      <c r="B97" s="275"/>
      <c r="C97" s="275"/>
      <c r="D97" s="2"/>
      <c r="E97" s="2"/>
    </row>
    <row r="98" spans="2:5" x14ac:dyDescent="0.3">
      <c r="B98" s="2"/>
      <c r="C98" s="2"/>
      <c r="D98" s="2"/>
      <c r="E98" s="2"/>
    </row>
    <row r="99" spans="2:5" x14ac:dyDescent="0.3">
      <c r="B99" s="2"/>
      <c r="C99" s="2"/>
      <c r="D99" s="2"/>
      <c r="E99" s="2"/>
    </row>
    <row r="100" spans="2:5" x14ac:dyDescent="0.3">
      <c r="B100" s="2"/>
      <c r="C100" s="2"/>
      <c r="D100" s="2"/>
      <c r="E100" s="2"/>
    </row>
    <row r="101" spans="2:5" x14ac:dyDescent="0.3">
      <c r="B101" s="275"/>
      <c r="C101" s="275"/>
      <c r="D101" s="2"/>
      <c r="E101" s="2"/>
    </row>
  </sheetData>
  <sortState ref="B13:E42">
    <sortCondition descending="1" ref="E13:E42"/>
  </sortState>
  <mergeCells count="18">
    <mergeCell ref="A11:A12"/>
    <mergeCell ref="B11:B12"/>
    <mergeCell ref="B5:G5"/>
    <mergeCell ref="B6:G6"/>
    <mergeCell ref="B7:G8"/>
    <mergeCell ref="B95:C95"/>
    <mergeCell ref="B97:C97"/>
    <mergeCell ref="B101:C101"/>
    <mergeCell ref="B85:E85"/>
    <mergeCell ref="B9:G9"/>
    <mergeCell ref="B10:G10"/>
    <mergeCell ref="C11:C12"/>
    <mergeCell ref="D11:D12"/>
    <mergeCell ref="E11:E12"/>
    <mergeCell ref="C44:F44"/>
    <mergeCell ref="B56:C56"/>
    <mergeCell ref="B59:C59"/>
    <mergeCell ref="B64:C64"/>
  </mergeCells>
  <printOptions horizontalCentered="1"/>
  <pageMargins left="0.15748031496062992" right="0.15748031496062992" top="0.55118110236220474" bottom="0.55118110236220474" header="0.31496062992125984" footer="0.31496062992125984"/>
  <pageSetup paperSize="9" orientation="portrait" r:id="rId1"/>
  <headerFooter>
    <oddFooter>&amp;LGSP MOH-CA / 8ème Année&amp;R&amp;P/&amp;N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H102"/>
  <sheetViews>
    <sheetView topLeftCell="A3" workbookViewId="0">
      <selection activeCell="B13" sqref="B13:D80"/>
    </sheetView>
  </sheetViews>
  <sheetFormatPr baseColWidth="10" defaultRowHeight="15" x14ac:dyDescent="0.25"/>
  <cols>
    <col min="1" max="1" width="5.85546875" customWidth="1"/>
    <col min="2" max="2" width="29.140625" customWidth="1"/>
    <col min="3" max="3" width="12.140625" bestFit="1" customWidth="1"/>
    <col min="4" max="4" width="12.85546875" customWidth="1"/>
    <col min="5" max="5" width="12.140625" bestFit="1" customWidth="1"/>
  </cols>
  <sheetData>
    <row r="1" spans="1:8" ht="16.5" x14ac:dyDescent="0.3">
      <c r="A1" s="92" t="s">
        <v>1</v>
      </c>
      <c r="B1" s="93"/>
      <c r="C1" s="70" t="s">
        <v>5</v>
      </c>
      <c r="D1" s="70"/>
      <c r="E1" s="94"/>
      <c r="F1" s="94"/>
      <c r="G1" s="130"/>
      <c r="H1" s="76"/>
    </row>
    <row r="2" spans="1:8" ht="16.5" x14ac:dyDescent="0.3">
      <c r="A2" s="92" t="s">
        <v>2</v>
      </c>
      <c r="B2" s="93"/>
      <c r="C2" s="94" t="s">
        <v>6</v>
      </c>
      <c r="D2" s="94"/>
      <c r="E2" s="94"/>
      <c r="F2" s="94"/>
      <c r="G2" s="130"/>
      <c r="H2" s="76"/>
    </row>
    <row r="3" spans="1:8" ht="16.5" x14ac:dyDescent="0.3">
      <c r="A3" s="92" t="s">
        <v>3</v>
      </c>
      <c r="B3" s="93"/>
      <c r="C3" s="94"/>
      <c r="D3" s="94"/>
      <c r="E3" s="94"/>
      <c r="F3" s="94"/>
      <c r="G3" s="130"/>
      <c r="H3" s="76"/>
    </row>
    <row r="4" spans="1:8" ht="16.5" x14ac:dyDescent="0.3">
      <c r="A4" s="92" t="s">
        <v>4</v>
      </c>
      <c r="B4" s="93"/>
      <c r="C4" s="94"/>
      <c r="D4" s="94"/>
      <c r="E4" s="94"/>
      <c r="F4" s="94"/>
      <c r="G4" s="130"/>
      <c r="H4" s="76"/>
    </row>
    <row r="5" spans="1:8" ht="16.5" x14ac:dyDescent="0.3">
      <c r="A5" s="92"/>
      <c r="B5" s="279" t="s">
        <v>457</v>
      </c>
      <c r="C5" s="279"/>
      <c r="D5" s="279"/>
      <c r="E5" s="279"/>
      <c r="F5" s="279"/>
      <c r="G5" s="279"/>
      <c r="H5" s="76"/>
    </row>
    <row r="6" spans="1:8" ht="18" x14ac:dyDescent="0.3">
      <c r="A6" s="92"/>
      <c r="B6" s="293" t="s">
        <v>107</v>
      </c>
      <c r="C6" s="293"/>
      <c r="D6" s="293"/>
      <c r="E6" s="293"/>
      <c r="F6" s="293"/>
      <c r="G6" s="293"/>
      <c r="H6" s="76"/>
    </row>
    <row r="7" spans="1:8" ht="16.5" x14ac:dyDescent="0.3">
      <c r="A7" s="92"/>
      <c r="B7" s="280" t="s">
        <v>448</v>
      </c>
      <c r="C7" s="280"/>
      <c r="D7" s="280"/>
      <c r="E7" s="280"/>
      <c r="F7" s="280"/>
      <c r="G7" s="280"/>
      <c r="H7" s="76"/>
    </row>
    <row r="8" spans="1:8" ht="16.5" x14ac:dyDescent="0.3">
      <c r="A8" s="92"/>
      <c r="B8" s="280"/>
      <c r="C8" s="280"/>
      <c r="D8" s="280"/>
      <c r="E8" s="280"/>
      <c r="F8" s="280"/>
      <c r="G8" s="280"/>
      <c r="H8" s="76"/>
    </row>
    <row r="9" spans="1:8" ht="16.5" x14ac:dyDescent="0.3">
      <c r="A9" s="94"/>
      <c r="B9" s="279"/>
      <c r="C9" s="279"/>
      <c r="D9" s="279"/>
      <c r="E9" s="279"/>
      <c r="F9" s="279"/>
      <c r="G9" s="279"/>
      <c r="H9" s="76"/>
    </row>
    <row r="10" spans="1:8" ht="16.5" x14ac:dyDescent="0.3">
      <c r="A10" s="94"/>
      <c r="B10" s="279"/>
      <c r="C10" s="279"/>
      <c r="D10" s="279"/>
      <c r="E10" s="279"/>
      <c r="F10" s="279"/>
      <c r="G10" s="279"/>
      <c r="H10" s="76"/>
    </row>
    <row r="11" spans="1:8" x14ac:dyDescent="0.25">
      <c r="A11" s="294" t="s">
        <v>427</v>
      </c>
      <c r="B11" s="296" t="s">
        <v>0</v>
      </c>
      <c r="C11" s="296" t="s">
        <v>208</v>
      </c>
      <c r="D11" s="296" t="s">
        <v>209</v>
      </c>
      <c r="E11" s="296" t="s">
        <v>445</v>
      </c>
      <c r="F11" s="95"/>
      <c r="G11" s="95"/>
      <c r="H11" s="79"/>
    </row>
    <row r="12" spans="1:8" ht="21" customHeight="1" x14ac:dyDescent="0.25">
      <c r="A12" s="295"/>
      <c r="B12" s="297"/>
      <c r="C12" s="297"/>
      <c r="D12" s="297"/>
      <c r="E12" s="297"/>
      <c r="F12" s="95"/>
      <c r="G12" s="95"/>
      <c r="H12" s="79"/>
    </row>
    <row r="13" spans="1:8" ht="18" customHeight="1" x14ac:dyDescent="0.3">
      <c r="A13" s="96" t="s">
        <v>385</v>
      </c>
      <c r="B13" s="22"/>
      <c r="C13" s="186"/>
      <c r="D13" s="186"/>
      <c r="E13" s="43">
        <f t="shared" ref="E13:E44" si="0">+(D13*2+C13)/3</f>
        <v>0</v>
      </c>
      <c r="F13" s="95"/>
      <c r="G13" s="95"/>
      <c r="H13" s="79"/>
    </row>
    <row r="14" spans="1:8" ht="21" customHeight="1" x14ac:dyDescent="0.3">
      <c r="A14" s="96" t="s">
        <v>318</v>
      </c>
      <c r="B14" s="22"/>
      <c r="C14" s="56"/>
      <c r="D14" s="56"/>
      <c r="E14" s="43">
        <f t="shared" si="0"/>
        <v>0</v>
      </c>
      <c r="F14" s="98"/>
      <c r="G14" s="98"/>
      <c r="H14" s="84"/>
    </row>
    <row r="15" spans="1:8" ht="18" customHeight="1" x14ac:dyDescent="0.3">
      <c r="A15" s="129" t="s">
        <v>319</v>
      </c>
      <c r="B15" s="22"/>
      <c r="C15" s="186"/>
      <c r="D15" s="56"/>
      <c r="E15" s="43">
        <f t="shared" si="0"/>
        <v>0</v>
      </c>
      <c r="F15" s="98"/>
      <c r="G15" s="98"/>
      <c r="H15" s="84"/>
    </row>
    <row r="16" spans="1:8" ht="18.75" customHeight="1" x14ac:dyDescent="0.3">
      <c r="A16" s="129" t="s">
        <v>320</v>
      </c>
      <c r="B16" s="22"/>
      <c r="C16" s="56"/>
      <c r="D16" s="56"/>
      <c r="E16" s="43">
        <f t="shared" si="0"/>
        <v>0</v>
      </c>
      <c r="F16" s="98"/>
      <c r="G16" s="98"/>
      <c r="H16" s="84"/>
    </row>
    <row r="17" spans="1:8" ht="21" customHeight="1" x14ac:dyDescent="0.3">
      <c r="A17" s="129" t="s">
        <v>321</v>
      </c>
      <c r="B17" s="22"/>
      <c r="C17" s="56"/>
      <c r="D17" s="56"/>
      <c r="E17" s="43">
        <f t="shared" si="0"/>
        <v>0</v>
      </c>
      <c r="F17" s="98"/>
      <c r="G17" s="98"/>
      <c r="H17" s="84"/>
    </row>
    <row r="18" spans="1:8" ht="18" customHeight="1" x14ac:dyDescent="0.3">
      <c r="A18" s="129" t="s">
        <v>322</v>
      </c>
      <c r="B18" s="22"/>
      <c r="C18" s="186"/>
      <c r="D18" s="56"/>
      <c r="E18" s="43">
        <f t="shared" si="0"/>
        <v>0</v>
      </c>
      <c r="F18" s="98"/>
      <c r="G18" s="98"/>
      <c r="H18" s="84"/>
    </row>
    <row r="19" spans="1:8" ht="20.25" customHeight="1" x14ac:dyDescent="0.3">
      <c r="A19" s="129" t="s">
        <v>323</v>
      </c>
      <c r="B19" s="22"/>
      <c r="C19" s="56"/>
      <c r="D19" s="56"/>
      <c r="E19" s="43">
        <f t="shared" si="0"/>
        <v>0</v>
      </c>
      <c r="F19" s="98"/>
      <c r="G19" s="98"/>
      <c r="H19" s="84"/>
    </row>
    <row r="20" spans="1:8" ht="20.25" customHeight="1" x14ac:dyDescent="0.3">
      <c r="A20" s="129" t="s">
        <v>324</v>
      </c>
      <c r="B20" s="22"/>
      <c r="C20" s="60"/>
      <c r="D20" s="60"/>
      <c r="E20" s="43">
        <f t="shared" si="0"/>
        <v>0</v>
      </c>
      <c r="F20" s="98"/>
      <c r="G20" s="98"/>
      <c r="H20" s="84"/>
    </row>
    <row r="21" spans="1:8" ht="18.75" customHeight="1" x14ac:dyDescent="0.3">
      <c r="A21" s="129" t="s">
        <v>325</v>
      </c>
      <c r="B21" s="22"/>
      <c r="C21" s="56"/>
      <c r="D21" s="56"/>
      <c r="E21" s="43">
        <f t="shared" si="0"/>
        <v>0</v>
      </c>
      <c r="F21" s="98"/>
      <c r="G21" s="98"/>
      <c r="H21" s="84"/>
    </row>
    <row r="22" spans="1:8" ht="22.5" customHeight="1" x14ac:dyDescent="0.3">
      <c r="A22" s="129" t="s">
        <v>326</v>
      </c>
      <c r="B22" s="22"/>
      <c r="C22" s="56"/>
      <c r="D22" s="56"/>
      <c r="E22" s="43">
        <f t="shared" si="0"/>
        <v>0</v>
      </c>
      <c r="F22" s="98"/>
      <c r="G22" s="98"/>
      <c r="H22" s="84"/>
    </row>
    <row r="23" spans="1:8" ht="16.5" x14ac:dyDescent="0.3">
      <c r="A23" s="129" t="s">
        <v>327</v>
      </c>
      <c r="B23" s="22"/>
      <c r="C23" s="56"/>
      <c r="D23" s="56"/>
      <c r="E23" s="43">
        <f t="shared" si="0"/>
        <v>0</v>
      </c>
      <c r="F23" s="98"/>
      <c r="G23" s="98"/>
      <c r="H23" s="84"/>
    </row>
    <row r="24" spans="1:8" ht="16.5" x14ac:dyDescent="0.3">
      <c r="A24" s="129" t="s">
        <v>328</v>
      </c>
      <c r="B24" s="22"/>
      <c r="C24" s="56"/>
      <c r="D24" s="56"/>
      <c r="E24" s="43">
        <f t="shared" si="0"/>
        <v>0</v>
      </c>
      <c r="F24" s="98"/>
      <c r="G24" s="98"/>
      <c r="H24" s="84"/>
    </row>
    <row r="25" spans="1:8" ht="16.5" x14ac:dyDescent="0.3">
      <c r="A25" s="129" t="s">
        <v>329</v>
      </c>
      <c r="B25" s="22"/>
      <c r="C25" s="56"/>
      <c r="D25" s="56"/>
      <c r="E25" s="43">
        <f t="shared" si="0"/>
        <v>0</v>
      </c>
      <c r="F25" s="98"/>
      <c r="G25" s="98"/>
      <c r="H25" s="84"/>
    </row>
    <row r="26" spans="1:8" ht="16.5" x14ac:dyDescent="0.3">
      <c r="A26" s="129" t="s">
        <v>330</v>
      </c>
      <c r="B26" s="22"/>
      <c r="C26" s="56"/>
      <c r="D26" s="56"/>
      <c r="E26" s="43">
        <f t="shared" si="0"/>
        <v>0</v>
      </c>
      <c r="F26" s="98"/>
      <c r="G26" s="98"/>
      <c r="H26" s="84"/>
    </row>
    <row r="27" spans="1:8" ht="16.5" x14ac:dyDescent="0.3">
      <c r="A27" s="129" t="s">
        <v>331</v>
      </c>
      <c r="B27" s="22"/>
      <c r="C27" s="56"/>
      <c r="D27" s="56"/>
      <c r="E27" s="43">
        <f t="shared" si="0"/>
        <v>0</v>
      </c>
      <c r="F27" s="98"/>
      <c r="G27" s="98"/>
      <c r="H27" s="84"/>
    </row>
    <row r="28" spans="1:8" ht="16.5" x14ac:dyDescent="0.3">
      <c r="A28" s="129" t="s">
        <v>332</v>
      </c>
      <c r="B28" s="22"/>
      <c r="C28" s="56"/>
      <c r="D28" s="56"/>
      <c r="E28" s="43">
        <f t="shared" si="0"/>
        <v>0</v>
      </c>
      <c r="F28" s="98"/>
      <c r="G28" s="98"/>
      <c r="H28" s="84"/>
    </row>
    <row r="29" spans="1:8" ht="16.5" x14ac:dyDescent="0.3">
      <c r="A29" s="129" t="s">
        <v>333</v>
      </c>
      <c r="B29" s="22"/>
      <c r="C29" s="56"/>
      <c r="D29" s="56"/>
      <c r="E29" s="43">
        <f t="shared" si="0"/>
        <v>0</v>
      </c>
      <c r="F29" s="98"/>
      <c r="G29" s="98"/>
      <c r="H29" s="84"/>
    </row>
    <row r="30" spans="1:8" ht="16.5" x14ac:dyDescent="0.3">
      <c r="A30" s="129" t="s">
        <v>334</v>
      </c>
      <c r="B30" s="22"/>
      <c r="C30" s="56"/>
      <c r="D30" s="56"/>
      <c r="E30" s="43">
        <f t="shared" si="0"/>
        <v>0</v>
      </c>
      <c r="F30" s="98"/>
      <c r="G30" s="98"/>
      <c r="H30" s="84"/>
    </row>
    <row r="31" spans="1:8" ht="16.5" x14ac:dyDescent="0.3">
      <c r="A31" s="129" t="s">
        <v>335</v>
      </c>
      <c r="B31" s="22"/>
      <c r="C31" s="56"/>
      <c r="D31" s="56"/>
      <c r="E31" s="43">
        <f t="shared" si="0"/>
        <v>0</v>
      </c>
      <c r="F31" s="98"/>
      <c r="G31" s="98"/>
      <c r="H31" s="84"/>
    </row>
    <row r="32" spans="1:8" ht="16.5" x14ac:dyDescent="0.3">
      <c r="A32" s="129" t="s">
        <v>336</v>
      </c>
      <c r="B32" s="22"/>
      <c r="C32" s="56"/>
      <c r="D32" s="56"/>
      <c r="E32" s="43">
        <f t="shared" si="0"/>
        <v>0</v>
      </c>
      <c r="F32" s="98"/>
      <c r="G32" s="98"/>
      <c r="H32" s="84"/>
    </row>
    <row r="33" spans="1:8" ht="16.5" x14ac:dyDescent="0.3">
      <c r="A33" s="129" t="s">
        <v>337</v>
      </c>
      <c r="B33" s="22"/>
      <c r="C33" s="56"/>
      <c r="D33" s="56"/>
      <c r="E33" s="43">
        <f t="shared" si="0"/>
        <v>0</v>
      </c>
      <c r="F33" s="98"/>
      <c r="G33" s="98"/>
      <c r="H33" s="84"/>
    </row>
    <row r="34" spans="1:8" ht="16.5" x14ac:dyDescent="0.3">
      <c r="A34" s="129" t="s">
        <v>338</v>
      </c>
      <c r="B34" s="22"/>
      <c r="C34" s="185"/>
      <c r="D34" s="185"/>
      <c r="E34" s="43">
        <f t="shared" si="0"/>
        <v>0</v>
      </c>
      <c r="F34" s="98"/>
      <c r="G34" s="98"/>
      <c r="H34" s="84"/>
    </row>
    <row r="35" spans="1:8" ht="16.5" x14ac:dyDescent="0.3">
      <c r="A35" s="129" t="s">
        <v>339</v>
      </c>
      <c r="B35" s="22"/>
      <c r="C35" s="56"/>
      <c r="D35" s="56"/>
      <c r="E35" s="43">
        <f t="shared" si="0"/>
        <v>0</v>
      </c>
      <c r="F35" s="98"/>
      <c r="G35" s="98"/>
      <c r="H35" s="84"/>
    </row>
    <row r="36" spans="1:8" ht="16.5" x14ac:dyDescent="0.3">
      <c r="A36" s="129" t="s">
        <v>340</v>
      </c>
      <c r="B36" s="22"/>
      <c r="C36" s="56"/>
      <c r="D36" s="56"/>
      <c r="E36" s="43">
        <f t="shared" si="0"/>
        <v>0</v>
      </c>
      <c r="F36" s="98"/>
      <c r="G36" s="98"/>
      <c r="H36" s="84"/>
    </row>
    <row r="37" spans="1:8" ht="16.5" x14ac:dyDescent="0.3">
      <c r="A37" s="129" t="s">
        <v>341</v>
      </c>
      <c r="B37" s="22"/>
      <c r="C37" s="56"/>
      <c r="D37" s="56"/>
      <c r="E37" s="43">
        <f t="shared" si="0"/>
        <v>0</v>
      </c>
      <c r="F37" s="98"/>
      <c r="G37" s="98"/>
      <c r="H37" s="84"/>
    </row>
    <row r="38" spans="1:8" ht="16.5" x14ac:dyDescent="0.3">
      <c r="A38" s="129" t="s">
        <v>342</v>
      </c>
      <c r="B38" s="22"/>
      <c r="C38" s="56"/>
      <c r="D38" s="56"/>
      <c r="E38" s="43">
        <f t="shared" si="0"/>
        <v>0</v>
      </c>
      <c r="F38" s="98"/>
      <c r="G38" s="98"/>
      <c r="H38" s="84"/>
    </row>
    <row r="39" spans="1:8" ht="16.5" x14ac:dyDescent="0.3">
      <c r="A39" s="129" t="s">
        <v>343</v>
      </c>
      <c r="B39" s="22"/>
      <c r="C39" s="56"/>
      <c r="D39" s="56"/>
      <c r="E39" s="43">
        <f t="shared" si="0"/>
        <v>0</v>
      </c>
      <c r="F39" s="98"/>
      <c r="G39" s="98"/>
      <c r="H39" s="84"/>
    </row>
    <row r="40" spans="1:8" ht="16.5" x14ac:dyDescent="0.3">
      <c r="A40" s="129" t="s">
        <v>344</v>
      </c>
      <c r="B40" s="22"/>
      <c r="C40" s="56"/>
      <c r="D40" s="56"/>
      <c r="E40" s="43">
        <f t="shared" si="0"/>
        <v>0</v>
      </c>
      <c r="F40" s="98"/>
      <c r="G40" s="98"/>
      <c r="H40" s="84"/>
    </row>
    <row r="41" spans="1:8" ht="16.5" x14ac:dyDescent="0.3">
      <c r="A41" s="129" t="s">
        <v>345</v>
      </c>
      <c r="B41" s="22"/>
      <c r="C41" s="56"/>
      <c r="D41" s="56"/>
      <c r="E41" s="43">
        <f t="shared" si="0"/>
        <v>0</v>
      </c>
      <c r="F41" s="98"/>
      <c r="G41" s="98"/>
      <c r="H41" s="84"/>
    </row>
    <row r="42" spans="1:8" ht="16.5" x14ac:dyDescent="0.3">
      <c r="A42" s="129" t="s">
        <v>346</v>
      </c>
      <c r="B42" s="22"/>
      <c r="C42" s="56"/>
      <c r="D42" s="56"/>
      <c r="E42" s="43">
        <f t="shared" si="0"/>
        <v>0</v>
      </c>
      <c r="F42" s="98"/>
      <c r="G42" s="98"/>
      <c r="H42" s="84"/>
    </row>
    <row r="43" spans="1:8" ht="16.5" x14ac:dyDescent="0.3">
      <c r="A43" s="129" t="s">
        <v>347</v>
      </c>
      <c r="B43" s="22"/>
      <c r="C43" s="56"/>
      <c r="D43" s="56"/>
      <c r="E43" s="43">
        <f t="shared" si="0"/>
        <v>0</v>
      </c>
      <c r="F43" s="98"/>
      <c r="G43" s="98"/>
      <c r="H43" s="84"/>
    </row>
    <row r="44" spans="1:8" ht="16.5" x14ac:dyDescent="0.3">
      <c r="A44" s="129" t="s">
        <v>348</v>
      </c>
      <c r="B44" s="22"/>
      <c r="C44" s="56"/>
      <c r="D44" s="56"/>
      <c r="E44" s="43">
        <f t="shared" si="0"/>
        <v>0</v>
      </c>
      <c r="F44" s="98"/>
      <c r="G44" s="98"/>
      <c r="H44" s="84"/>
    </row>
    <row r="45" spans="1:8" ht="16.5" x14ac:dyDescent="0.3">
      <c r="A45" s="129" t="s">
        <v>349</v>
      </c>
      <c r="B45" s="22"/>
      <c r="C45" s="187"/>
      <c r="D45" s="56"/>
      <c r="E45" s="43">
        <f t="shared" ref="E45:E76" si="1">+(D45*2+C45)/3</f>
        <v>0</v>
      </c>
      <c r="F45" s="98"/>
      <c r="G45" s="98"/>
      <c r="H45" s="84"/>
    </row>
    <row r="46" spans="1:8" ht="16.5" x14ac:dyDescent="0.3">
      <c r="A46" s="129" t="s">
        <v>350</v>
      </c>
      <c r="B46" s="22"/>
      <c r="C46" s="56"/>
      <c r="D46" s="56"/>
      <c r="E46" s="43">
        <f t="shared" si="1"/>
        <v>0</v>
      </c>
      <c r="F46" s="98"/>
      <c r="G46" s="98"/>
      <c r="H46" s="84"/>
    </row>
    <row r="47" spans="1:8" ht="16.5" x14ac:dyDescent="0.3">
      <c r="A47" s="129" t="s">
        <v>351</v>
      </c>
      <c r="B47" s="22"/>
      <c r="C47" s="56"/>
      <c r="D47" s="56"/>
      <c r="E47" s="43">
        <f t="shared" si="1"/>
        <v>0</v>
      </c>
      <c r="F47" s="98"/>
      <c r="G47" s="98"/>
      <c r="H47" s="84"/>
    </row>
    <row r="48" spans="1:8" ht="16.5" x14ac:dyDescent="0.3">
      <c r="A48" s="129" t="s">
        <v>352</v>
      </c>
      <c r="B48" s="22"/>
      <c r="C48" s="56"/>
      <c r="D48" s="56"/>
      <c r="E48" s="43">
        <f t="shared" si="1"/>
        <v>0</v>
      </c>
      <c r="F48" s="98"/>
      <c r="G48" s="98"/>
      <c r="H48" s="84"/>
    </row>
    <row r="49" spans="1:8" ht="16.5" x14ac:dyDescent="0.3">
      <c r="A49" s="129" t="s">
        <v>353</v>
      </c>
      <c r="B49" s="22"/>
      <c r="C49" s="56"/>
      <c r="D49" s="56"/>
      <c r="E49" s="43">
        <f t="shared" si="1"/>
        <v>0</v>
      </c>
      <c r="F49" s="98"/>
      <c r="G49" s="98"/>
      <c r="H49" s="84"/>
    </row>
    <row r="50" spans="1:8" ht="16.5" x14ac:dyDescent="0.3">
      <c r="A50" s="129" t="s">
        <v>354</v>
      </c>
      <c r="B50" s="22"/>
      <c r="C50" s="56"/>
      <c r="D50" s="56"/>
      <c r="E50" s="43">
        <f t="shared" si="1"/>
        <v>0</v>
      </c>
      <c r="F50" s="98"/>
      <c r="G50" s="98"/>
      <c r="H50" s="84"/>
    </row>
    <row r="51" spans="1:8" ht="16.5" x14ac:dyDescent="0.3">
      <c r="A51" s="129" t="s">
        <v>355</v>
      </c>
      <c r="B51" s="22"/>
      <c r="C51" s="56"/>
      <c r="D51" s="56"/>
      <c r="E51" s="43">
        <f t="shared" si="1"/>
        <v>0</v>
      </c>
      <c r="F51" s="98"/>
      <c r="G51" s="98"/>
      <c r="H51" s="84"/>
    </row>
    <row r="52" spans="1:8" ht="16.5" x14ac:dyDescent="0.3">
      <c r="A52" s="129" t="s">
        <v>356</v>
      </c>
      <c r="B52" s="22"/>
      <c r="C52" s="56"/>
      <c r="D52" s="56"/>
      <c r="E52" s="43">
        <f t="shared" si="1"/>
        <v>0</v>
      </c>
      <c r="F52" s="98"/>
      <c r="G52" s="98"/>
      <c r="H52" s="84"/>
    </row>
    <row r="53" spans="1:8" ht="16.5" x14ac:dyDescent="0.3">
      <c r="A53" s="129" t="s">
        <v>357</v>
      </c>
      <c r="B53" s="22"/>
      <c r="C53" s="56"/>
      <c r="D53" s="56"/>
      <c r="E53" s="43">
        <f t="shared" si="1"/>
        <v>0</v>
      </c>
      <c r="F53" s="98"/>
      <c r="G53" s="98"/>
      <c r="H53" s="84"/>
    </row>
    <row r="54" spans="1:8" ht="16.5" x14ac:dyDescent="0.3">
      <c r="A54" s="129" t="s">
        <v>358</v>
      </c>
      <c r="B54" s="22"/>
      <c r="C54" s="56"/>
      <c r="D54" s="56"/>
      <c r="E54" s="43">
        <f t="shared" si="1"/>
        <v>0</v>
      </c>
      <c r="F54" s="98"/>
      <c r="G54" s="98"/>
      <c r="H54" s="84"/>
    </row>
    <row r="55" spans="1:8" ht="16.5" x14ac:dyDescent="0.3">
      <c r="A55" s="129" t="s">
        <v>359</v>
      </c>
      <c r="B55" s="22"/>
      <c r="C55" s="56"/>
      <c r="D55" s="56"/>
      <c r="E55" s="43">
        <f t="shared" si="1"/>
        <v>0</v>
      </c>
      <c r="F55" s="98"/>
      <c r="G55" s="98"/>
      <c r="H55" s="84"/>
    </row>
    <row r="56" spans="1:8" ht="16.5" x14ac:dyDescent="0.3">
      <c r="A56" s="129" t="s">
        <v>360</v>
      </c>
      <c r="B56" s="22"/>
      <c r="C56" s="56"/>
      <c r="D56" s="56"/>
      <c r="E56" s="43">
        <f t="shared" si="1"/>
        <v>0</v>
      </c>
      <c r="F56" s="98"/>
      <c r="G56" s="98"/>
      <c r="H56" s="84"/>
    </row>
    <row r="57" spans="1:8" ht="16.5" x14ac:dyDescent="0.3">
      <c r="A57" s="129" t="s">
        <v>361</v>
      </c>
      <c r="B57" s="22"/>
      <c r="C57" s="56"/>
      <c r="D57" s="56"/>
      <c r="E57" s="43">
        <f t="shared" si="1"/>
        <v>0</v>
      </c>
      <c r="F57" s="98"/>
      <c r="G57" s="98"/>
      <c r="H57" s="84"/>
    </row>
    <row r="58" spans="1:8" ht="16.5" x14ac:dyDescent="0.3">
      <c r="A58" s="129" t="s">
        <v>362</v>
      </c>
      <c r="B58" s="22"/>
      <c r="C58" s="56"/>
      <c r="D58" s="56"/>
      <c r="E58" s="43">
        <f t="shared" si="1"/>
        <v>0</v>
      </c>
      <c r="F58" s="94"/>
      <c r="G58" s="130"/>
      <c r="H58" s="76"/>
    </row>
    <row r="59" spans="1:8" ht="16.5" x14ac:dyDescent="0.3">
      <c r="A59" s="129" t="s">
        <v>363</v>
      </c>
      <c r="B59" s="22"/>
      <c r="C59" s="56"/>
      <c r="D59" s="56"/>
      <c r="E59" s="43">
        <f t="shared" si="1"/>
        <v>0</v>
      </c>
      <c r="F59" s="94"/>
      <c r="G59" s="130"/>
      <c r="H59" s="76"/>
    </row>
    <row r="60" spans="1:8" ht="16.5" x14ac:dyDescent="0.3">
      <c r="A60" s="129" t="s">
        <v>364</v>
      </c>
      <c r="B60" s="22"/>
      <c r="C60" s="56"/>
      <c r="D60" s="56"/>
      <c r="E60" s="43">
        <f t="shared" si="1"/>
        <v>0</v>
      </c>
      <c r="F60" s="94"/>
      <c r="G60" s="130"/>
      <c r="H60" s="76"/>
    </row>
    <row r="61" spans="1:8" ht="16.5" x14ac:dyDescent="0.3">
      <c r="A61" s="129" t="s">
        <v>365</v>
      </c>
      <c r="B61" s="22"/>
      <c r="C61" s="56"/>
      <c r="D61" s="56"/>
      <c r="E61" s="43">
        <f t="shared" si="1"/>
        <v>0</v>
      </c>
      <c r="F61" s="94"/>
      <c r="G61" s="130"/>
      <c r="H61" s="76"/>
    </row>
    <row r="62" spans="1:8" ht="18" customHeight="1" x14ac:dyDescent="0.3">
      <c r="A62" s="129" t="s">
        <v>366</v>
      </c>
      <c r="B62" s="22"/>
      <c r="C62" s="56"/>
      <c r="D62" s="56"/>
      <c r="E62" s="43">
        <f t="shared" si="1"/>
        <v>0</v>
      </c>
      <c r="F62" s="94"/>
      <c r="G62" s="130"/>
      <c r="H62" s="76"/>
    </row>
    <row r="63" spans="1:8" ht="16.5" x14ac:dyDescent="0.3">
      <c r="A63" s="129" t="s">
        <v>367</v>
      </c>
      <c r="B63" s="22"/>
      <c r="C63" s="56"/>
      <c r="D63" s="56"/>
      <c r="E63" s="43">
        <f t="shared" si="1"/>
        <v>0</v>
      </c>
      <c r="F63" s="94"/>
      <c r="G63" s="130"/>
      <c r="H63" s="76"/>
    </row>
    <row r="64" spans="1:8" ht="16.5" x14ac:dyDescent="0.3">
      <c r="A64" s="129" t="s">
        <v>368</v>
      </c>
      <c r="B64" s="22"/>
      <c r="C64" s="56"/>
      <c r="D64" s="56"/>
      <c r="E64" s="43">
        <f t="shared" si="1"/>
        <v>0</v>
      </c>
      <c r="F64" s="94"/>
      <c r="G64" s="130"/>
      <c r="H64" s="76"/>
    </row>
    <row r="65" spans="1:8" ht="16.5" x14ac:dyDescent="0.3">
      <c r="A65" s="129" t="s">
        <v>369</v>
      </c>
      <c r="B65" s="22"/>
      <c r="C65" s="56"/>
      <c r="D65" s="56"/>
      <c r="E65" s="43">
        <f t="shared" si="1"/>
        <v>0</v>
      </c>
      <c r="F65" s="94"/>
      <c r="G65" s="130"/>
      <c r="H65" s="76"/>
    </row>
    <row r="66" spans="1:8" ht="16.5" x14ac:dyDescent="0.3">
      <c r="A66" s="129" t="s">
        <v>370</v>
      </c>
      <c r="B66" s="22"/>
      <c r="C66" s="56"/>
      <c r="D66" s="56"/>
      <c r="E66" s="43">
        <f t="shared" si="1"/>
        <v>0</v>
      </c>
      <c r="F66" s="94"/>
      <c r="G66" s="130"/>
      <c r="H66" s="76"/>
    </row>
    <row r="67" spans="1:8" ht="16.5" x14ac:dyDescent="0.3">
      <c r="A67" s="129" t="s">
        <v>371</v>
      </c>
      <c r="B67" s="22"/>
      <c r="C67" s="56"/>
      <c r="D67" s="56"/>
      <c r="E67" s="43">
        <f t="shared" si="1"/>
        <v>0</v>
      </c>
      <c r="F67" s="94"/>
      <c r="G67" s="130"/>
      <c r="H67" s="76"/>
    </row>
    <row r="68" spans="1:8" ht="16.5" x14ac:dyDescent="0.3">
      <c r="A68" s="129" t="s">
        <v>372</v>
      </c>
      <c r="B68" s="22"/>
      <c r="C68" s="56"/>
      <c r="D68" s="56"/>
      <c r="E68" s="43">
        <f t="shared" si="1"/>
        <v>0</v>
      </c>
      <c r="F68" s="94"/>
      <c r="G68" s="130"/>
      <c r="H68" s="76"/>
    </row>
    <row r="69" spans="1:8" ht="16.5" x14ac:dyDescent="0.3">
      <c r="A69" s="129" t="s">
        <v>373</v>
      </c>
      <c r="B69" s="22"/>
      <c r="C69" s="56"/>
      <c r="D69" s="56"/>
      <c r="E69" s="43">
        <f t="shared" si="1"/>
        <v>0</v>
      </c>
      <c r="F69" s="94"/>
      <c r="G69" s="130"/>
      <c r="H69" s="76"/>
    </row>
    <row r="70" spans="1:8" ht="16.5" x14ac:dyDescent="0.3">
      <c r="A70" s="129" t="s">
        <v>374</v>
      </c>
      <c r="B70" s="22"/>
      <c r="C70" s="56"/>
      <c r="D70" s="56"/>
      <c r="E70" s="43">
        <f t="shared" si="1"/>
        <v>0</v>
      </c>
      <c r="F70" s="94"/>
      <c r="G70" s="130"/>
      <c r="H70" s="76"/>
    </row>
    <row r="71" spans="1:8" ht="16.5" x14ac:dyDescent="0.3">
      <c r="A71" s="129" t="s">
        <v>375</v>
      </c>
      <c r="B71" s="22"/>
      <c r="C71" s="56"/>
      <c r="D71" s="56"/>
      <c r="E71" s="43">
        <f t="shared" si="1"/>
        <v>0</v>
      </c>
      <c r="F71" s="94"/>
      <c r="G71" s="130"/>
      <c r="H71" s="76"/>
    </row>
    <row r="72" spans="1:8" ht="16.5" x14ac:dyDescent="0.3">
      <c r="A72" s="129" t="s">
        <v>376</v>
      </c>
      <c r="B72" s="22"/>
      <c r="C72" s="187"/>
      <c r="D72" s="56"/>
      <c r="E72" s="43">
        <f t="shared" si="1"/>
        <v>0</v>
      </c>
      <c r="F72" s="94"/>
      <c r="G72" s="130"/>
      <c r="H72" s="76"/>
    </row>
    <row r="73" spans="1:8" ht="16.5" x14ac:dyDescent="0.3">
      <c r="A73" s="129" t="s">
        <v>377</v>
      </c>
      <c r="B73" s="22"/>
      <c r="C73" s="56"/>
      <c r="D73" s="56"/>
      <c r="E73" s="43">
        <f t="shared" si="1"/>
        <v>0</v>
      </c>
      <c r="F73" s="94"/>
      <c r="G73" s="130"/>
      <c r="H73" s="76"/>
    </row>
    <row r="74" spans="1:8" ht="16.5" x14ac:dyDescent="0.3">
      <c r="A74" s="129" t="s">
        <v>378</v>
      </c>
      <c r="B74" s="22"/>
      <c r="C74" s="56"/>
      <c r="D74" s="56"/>
      <c r="E74" s="43">
        <f t="shared" si="1"/>
        <v>0</v>
      </c>
      <c r="F74" s="94"/>
      <c r="G74" s="130"/>
      <c r="H74" s="76"/>
    </row>
    <row r="75" spans="1:8" ht="16.5" x14ac:dyDescent="0.3">
      <c r="A75" s="129" t="s">
        <v>379</v>
      </c>
      <c r="B75" s="22"/>
      <c r="C75" s="56"/>
      <c r="D75" s="56"/>
      <c r="E75" s="43">
        <f t="shared" si="1"/>
        <v>0</v>
      </c>
      <c r="F75" s="94"/>
      <c r="G75" s="130"/>
      <c r="H75" s="76"/>
    </row>
    <row r="76" spans="1:8" ht="16.5" x14ac:dyDescent="0.3">
      <c r="A76" s="129" t="s">
        <v>380</v>
      </c>
      <c r="B76" s="22"/>
      <c r="C76" s="56"/>
      <c r="D76" s="56"/>
      <c r="E76" s="43">
        <f t="shared" si="1"/>
        <v>0</v>
      </c>
      <c r="F76" s="94"/>
      <c r="G76" s="130"/>
      <c r="H76" s="76"/>
    </row>
    <row r="77" spans="1:8" ht="16.5" x14ac:dyDescent="0.3">
      <c r="A77" s="129" t="s">
        <v>381</v>
      </c>
      <c r="B77" s="22"/>
      <c r="C77" s="56"/>
      <c r="D77" s="56"/>
      <c r="E77" s="43">
        <f t="shared" ref="E77:E80" si="2">+(D77*2+C77)/3</f>
        <v>0</v>
      </c>
      <c r="F77" s="94"/>
      <c r="G77" s="130"/>
      <c r="H77" s="76"/>
    </row>
    <row r="78" spans="1:8" ht="16.5" x14ac:dyDescent="0.3">
      <c r="A78" s="129" t="s">
        <v>382</v>
      </c>
      <c r="B78" s="22"/>
      <c r="C78" s="56"/>
      <c r="D78" s="56"/>
      <c r="E78" s="43">
        <f t="shared" si="2"/>
        <v>0</v>
      </c>
      <c r="F78" s="94"/>
      <c r="G78" s="130"/>
      <c r="H78" s="76"/>
    </row>
    <row r="79" spans="1:8" ht="16.5" x14ac:dyDescent="0.3">
      <c r="A79" s="129" t="s">
        <v>383</v>
      </c>
      <c r="B79" s="22"/>
      <c r="C79" s="56"/>
      <c r="D79" s="56"/>
      <c r="E79" s="43">
        <f t="shared" si="2"/>
        <v>0</v>
      </c>
      <c r="F79" s="94"/>
      <c r="G79" s="130"/>
      <c r="H79" s="76"/>
    </row>
    <row r="80" spans="1:8" ht="16.5" x14ac:dyDescent="0.3">
      <c r="A80" s="129" t="s">
        <v>384</v>
      </c>
      <c r="B80" s="22"/>
      <c r="C80" s="56"/>
      <c r="D80" s="56"/>
      <c r="E80" s="43">
        <f t="shared" si="2"/>
        <v>0</v>
      </c>
      <c r="F80" s="94"/>
      <c r="G80" s="130"/>
      <c r="H80" s="76"/>
    </row>
    <row r="81" spans="1:8" ht="16.5" x14ac:dyDescent="0.3">
      <c r="A81" s="99"/>
      <c r="B81" s="100"/>
      <c r="C81" s="101"/>
      <c r="D81" s="101"/>
      <c r="E81" s="102"/>
      <c r="F81" s="94"/>
      <c r="G81" s="130"/>
      <c r="H81" s="76"/>
    </row>
    <row r="82" spans="1:8" ht="16.5" x14ac:dyDescent="0.3">
      <c r="A82" s="99"/>
      <c r="B82" s="100"/>
      <c r="C82" s="101"/>
      <c r="D82" s="101"/>
      <c r="E82" s="102"/>
      <c r="F82" s="94"/>
      <c r="G82" s="130"/>
      <c r="H82" s="76"/>
    </row>
    <row r="83" spans="1:8" ht="16.5" x14ac:dyDescent="0.3">
      <c r="A83" s="99"/>
      <c r="B83" s="100"/>
      <c r="C83" s="101"/>
      <c r="D83" s="101"/>
      <c r="E83" s="102"/>
      <c r="F83" s="94"/>
      <c r="G83" s="130"/>
      <c r="H83" s="76"/>
    </row>
    <row r="84" spans="1:8" ht="16.5" x14ac:dyDescent="0.3">
      <c r="A84" s="75"/>
      <c r="B84" s="85"/>
      <c r="C84" s="85"/>
      <c r="D84" s="85"/>
      <c r="E84" s="85"/>
      <c r="F84" s="76"/>
      <c r="G84" s="128"/>
      <c r="H84" s="76"/>
    </row>
    <row r="85" spans="1:8" ht="16.5" x14ac:dyDescent="0.3">
      <c r="A85" s="76"/>
      <c r="B85" s="291" t="s">
        <v>392</v>
      </c>
      <c r="C85" s="291"/>
      <c r="D85" s="291"/>
      <c r="E85" s="291"/>
      <c r="F85" s="86"/>
      <c r="G85" s="86"/>
      <c r="H85" s="86"/>
    </row>
    <row r="86" spans="1:8" ht="16.5" x14ac:dyDescent="0.3">
      <c r="A86" s="76"/>
      <c r="B86" s="76"/>
      <c r="C86" s="76"/>
      <c r="D86" s="76"/>
      <c r="E86" s="76"/>
      <c r="F86" s="86"/>
      <c r="G86" s="86"/>
      <c r="H86" s="86"/>
    </row>
    <row r="87" spans="1:8" ht="16.5" x14ac:dyDescent="0.3">
      <c r="A87" s="76"/>
      <c r="B87" s="76"/>
      <c r="C87" s="87" t="s">
        <v>393</v>
      </c>
      <c r="D87" s="87" t="s">
        <v>394</v>
      </c>
      <c r="E87" s="87" t="s">
        <v>395</v>
      </c>
      <c r="F87" s="86"/>
      <c r="G87" s="86"/>
      <c r="H87" s="86"/>
    </row>
    <row r="88" spans="1:8" ht="16.5" x14ac:dyDescent="0.3">
      <c r="A88" s="76"/>
      <c r="B88" s="88" t="s">
        <v>396</v>
      </c>
      <c r="C88" s="89">
        <v>41</v>
      </c>
      <c r="D88" s="89">
        <v>27</v>
      </c>
      <c r="E88" s="89">
        <f>SUM(C88:D88)</f>
        <v>68</v>
      </c>
      <c r="F88" s="86"/>
      <c r="G88" s="86"/>
      <c r="H88" s="86"/>
    </row>
    <row r="89" spans="1:8" ht="16.5" x14ac:dyDescent="0.3">
      <c r="A89" s="76"/>
      <c r="B89" s="87" t="s">
        <v>397</v>
      </c>
      <c r="C89" s="89">
        <v>41</v>
      </c>
      <c r="D89" s="89">
        <v>26</v>
      </c>
      <c r="E89" s="89">
        <f>SUM(C89:D89)</f>
        <v>67</v>
      </c>
      <c r="F89" s="86"/>
      <c r="G89" s="86"/>
      <c r="H89" s="86"/>
    </row>
    <row r="90" spans="1:8" ht="16.5" x14ac:dyDescent="0.3">
      <c r="A90" s="76"/>
      <c r="B90" s="87" t="s">
        <v>398</v>
      </c>
      <c r="C90" s="89">
        <v>0</v>
      </c>
      <c r="D90" s="89">
        <v>1</v>
      </c>
      <c r="E90" s="89">
        <f>SUM(C90:D90)</f>
        <v>1</v>
      </c>
      <c r="F90" s="86"/>
      <c r="G90" s="86"/>
      <c r="H90" s="86"/>
    </row>
    <row r="91" spans="1:8" ht="16.5" x14ac:dyDescent="0.3">
      <c r="A91" s="76"/>
      <c r="B91" s="87" t="s">
        <v>399</v>
      </c>
      <c r="C91" s="89">
        <v>12</v>
      </c>
      <c r="D91" s="89">
        <v>7</v>
      </c>
      <c r="E91" s="89">
        <f>SUM(C91:D91)</f>
        <v>19</v>
      </c>
      <c r="F91" s="86"/>
      <c r="G91" s="86"/>
      <c r="H91" s="86"/>
    </row>
    <row r="92" spans="1:8" ht="16.5" x14ac:dyDescent="0.3">
      <c r="A92" s="76"/>
      <c r="B92" s="87" t="s">
        <v>400</v>
      </c>
      <c r="C92" s="89">
        <v>29</v>
      </c>
      <c r="D92" s="89">
        <v>20</v>
      </c>
      <c r="E92" s="89">
        <f>SUM(C92:D92)</f>
        <v>49</v>
      </c>
      <c r="F92" s="86"/>
      <c r="G92" s="86"/>
      <c r="H92" s="86"/>
    </row>
    <row r="93" spans="1:8" ht="16.5" x14ac:dyDescent="0.3">
      <c r="A93" s="76"/>
      <c r="B93" s="87" t="s">
        <v>401</v>
      </c>
      <c r="C93" s="90">
        <f>+C91/C88</f>
        <v>0.29268292682926828</v>
      </c>
      <c r="D93" s="90">
        <f>+D91/D88</f>
        <v>0.25925925925925924</v>
      </c>
      <c r="E93" s="90">
        <f>+E91/E88</f>
        <v>0.27941176470588236</v>
      </c>
      <c r="F93" s="86"/>
      <c r="G93" s="86"/>
      <c r="H93" s="86"/>
    </row>
    <row r="94" spans="1:8" x14ac:dyDescent="0.25">
      <c r="A94" s="86"/>
      <c r="B94" s="86"/>
      <c r="C94" s="86"/>
      <c r="D94" s="86"/>
      <c r="E94" s="86"/>
      <c r="F94" s="86"/>
      <c r="G94" s="86"/>
      <c r="H94" s="86"/>
    </row>
    <row r="95" spans="1:8" ht="16.5" x14ac:dyDescent="0.3">
      <c r="A95" s="76"/>
      <c r="B95" s="76"/>
      <c r="C95" s="76"/>
      <c r="D95" s="76" t="s">
        <v>406</v>
      </c>
      <c r="E95" s="76"/>
      <c r="F95" s="76"/>
      <c r="G95" s="128"/>
      <c r="H95" s="128"/>
    </row>
    <row r="96" spans="1:8" ht="16.5" x14ac:dyDescent="0.3">
      <c r="A96" s="76"/>
      <c r="B96" s="76"/>
      <c r="C96" s="76"/>
      <c r="D96" s="76"/>
      <c r="E96" s="76"/>
      <c r="F96" s="76"/>
      <c r="G96" s="128"/>
      <c r="H96" s="76"/>
    </row>
    <row r="97" spans="1:8" ht="16.5" x14ac:dyDescent="0.3">
      <c r="A97" s="292" t="s">
        <v>403</v>
      </c>
      <c r="B97" s="292"/>
      <c r="C97" s="76"/>
      <c r="D97" s="76" t="s">
        <v>404</v>
      </c>
      <c r="E97" s="76"/>
      <c r="F97" s="76"/>
      <c r="G97" s="128"/>
      <c r="H97" s="128"/>
    </row>
    <row r="98" spans="1:8" ht="16.5" x14ac:dyDescent="0.3">
      <c r="A98" s="76"/>
      <c r="B98" s="76"/>
      <c r="C98" s="76"/>
      <c r="D98" s="76"/>
      <c r="E98" s="76"/>
      <c r="F98" s="76"/>
      <c r="G98" s="128"/>
      <c r="H98" s="76"/>
    </row>
    <row r="99" spans="1:8" ht="16.5" x14ac:dyDescent="0.3">
      <c r="A99" s="76"/>
      <c r="B99" s="76"/>
      <c r="C99" s="76"/>
      <c r="D99" s="76"/>
      <c r="E99" s="76"/>
      <c r="F99" s="76"/>
      <c r="G99" s="128"/>
      <c r="H99" s="76"/>
    </row>
    <row r="100" spans="1:8" ht="16.5" x14ac:dyDescent="0.3">
      <c r="A100" s="76"/>
      <c r="B100" s="76"/>
      <c r="C100" s="76"/>
      <c r="D100" s="76"/>
      <c r="E100" s="76"/>
      <c r="F100" s="76"/>
      <c r="G100" s="128"/>
      <c r="H100" s="76"/>
    </row>
    <row r="101" spans="1:8" ht="16.5" x14ac:dyDescent="0.3">
      <c r="A101" s="292" t="s">
        <v>407</v>
      </c>
      <c r="B101" s="292"/>
      <c r="C101" s="76"/>
      <c r="D101" s="76" t="s">
        <v>8</v>
      </c>
      <c r="E101" s="76"/>
      <c r="F101" s="76"/>
      <c r="G101" s="128"/>
      <c r="H101" s="128"/>
    </row>
    <row r="102" spans="1:8" ht="16.5" x14ac:dyDescent="0.3">
      <c r="A102" s="76"/>
      <c r="B102" s="85"/>
      <c r="C102" s="85"/>
      <c r="D102" s="85"/>
      <c r="E102" s="85"/>
      <c r="F102" s="76"/>
      <c r="G102" s="128"/>
      <c r="H102" s="76"/>
    </row>
  </sheetData>
  <sortState ref="A14:E83">
    <sortCondition descending="1" ref="E13:E83"/>
  </sortState>
  <mergeCells count="13">
    <mergeCell ref="B85:E85"/>
    <mergeCell ref="A97:B97"/>
    <mergeCell ref="A101:B101"/>
    <mergeCell ref="B5:G5"/>
    <mergeCell ref="B6:G6"/>
    <mergeCell ref="B7:G8"/>
    <mergeCell ref="B9:G9"/>
    <mergeCell ref="B10:G10"/>
    <mergeCell ref="A11:A12"/>
    <mergeCell ref="B11:B12"/>
    <mergeCell ref="C11:C12"/>
    <mergeCell ref="D11:D12"/>
    <mergeCell ref="E11:E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H102"/>
  <sheetViews>
    <sheetView workbookViewId="0">
      <selection activeCell="B8" sqref="B8"/>
    </sheetView>
  </sheetViews>
  <sheetFormatPr baseColWidth="10" defaultRowHeight="15" x14ac:dyDescent="0.25"/>
  <cols>
    <col min="1" max="1" width="4.28515625" customWidth="1"/>
    <col min="2" max="2" width="39" customWidth="1"/>
    <col min="3" max="3" width="12.140625" customWidth="1"/>
    <col min="4" max="4" width="10.140625" customWidth="1"/>
    <col min="5" max="5" width="12.5703125" customWidth="1"/>
  </cols>
  <sheetData>
    <row r="1" spans="1:8" ht="18.75" x14ac:dyDescent="0.3">
      <c r="A1" s="92"/>
      <c r="B1" s="271"/>
      <c r="C1" s="268" t="s">
        <v>5</v>
      </c>
      <c r="D1" s="268"/>
      <c r="E1" s="94"/>
      <c r="F1" s="94"/>
      <c r="G1" s="94"/>
      <c r="H1" s="94"/>
    </row>
    <row r="2" spans="1:8" ht="16.5" x14ac:dyDescent="0.3">
      <c r="A2" s="92"/>
      <c r="B2" s="93"/>
      <c r="C2" s="94" t="s">
        <v>6</v>
      </c>
      <c r="D2" s="94"/>
      <c r="E2" s="94"/>
      <c r="F2" s="94"/>
      <c r="G2" s="94"/>
      <c r="H2" s="94"/>
    </row>
    <row r="3" spans="1:8" ht="20.25" x14ac:dyDescent="0.3">
      <c r="A3" s="1" t="s">
        <v>929</v>
      </c>
      <c r="B3" s="6"/>
      <c r="C3" s="31"/>
      <c r="D3" s="31"/>
      <c r="E3" s="31"/>
      <c r="F3" s="2"/>
      <c r="G3" s="2"/>
      <c r="H3" s="94"/>
    </row>
    <row r="4" spans="1:8" ht="16.5" x14ac:dyDescent="0.3">
      <c r="A4" s="1" t="s">
        <v>930</v>
      </c>
      <c r="B4" s="6"/>
      <c r="C4" s="276"/>
      <c r="D4" s="276"/>
      <c r="E4" s="276"/>
      <c r="F4" s="2"/>
      <c r="G4" s="2"/>
      <c r="H4" s="94"/>
    </row>
    <row r="5" spans="1:8" ht="16.5" x14ac:dyDescent="0.3">
      <c r="A5" s="1" t="s">
        <v>931</v>
      </c>
      <c r="B5" s="6"/>
      <c r="C5" s="2"/>
      <c r="D5" s="2"/>
      <c r="E5" s="2"/>
      <c r="F5" s="2"/>
      <c r="G5" s="2"/>
      <c r="H5" s="94"/>
    </row>
    <row r="6" spans="1:8" ht="16.5" x14ac:dyDescent="0.3">
      <c r="A6" s="1" t="s">
        <v>932</v>
      </c>
      <c r="B6" s="6"/>
      <c r="C6" s="2"/>
      <c r="D6" s="3"/>
      <c r="E6" s="3"/>
      <c r="F6" s="2"/>
      <c r="G6" s="2"/>
      <c r="H6" s="94"/>
    </row>
    <row r="7" spans="1:8" ht="16.5" customHeight="1" x14ac:dyDescent="0.3">
      <c r="A7" s="2"/>
      <c r="B7" s="283" t="s">
        <v>1047</v>
      </c>
      <c r="C7" s="283"/>
      <c r="D7" s="283"/>
      <c r="E7" s="283"/>
      <c r="F7" s="283"/>
      <c r="G7" s="283"/>
      <c r="H7" s="94"/>
    </row>
    <row r="8" spans="1:8" ht="21" x14ac:dyDescent="0.3">
      <c r="A8" s="2"/>
      <c r="B8" s="255"/>
      <c r="C8" s="283" t="s">
        <v>1049</v>
      </c>
      <c r="D8" s="283"/>
      <c r="E8" s="283"/>
      <c r="F8" s="283"/>
      <c r="G8" s="283"/>
      <c r="H8" s="94"/>
    </row>
    <row r="9" spans="1:8" ht="16.5" customHeight="1" x14ac:dyDescent="0.3">
      <c r="A9" s="324" t="s">
        <v>1046</v>
      </c>
      <c r="B9" s="324"/>
      <c r="C9" s="324"/>
      <c r="D9" s="324"/>
      <c r="E9" s="324"/>
      <c r="F9" s="324"/>
      <c r="G9" s="324"/>
      <c r="H9" s="94"/>
    </row>
    <row r="10" spans="1:8" ht="16.5" x14ac:dyDescent="0.3">
      <c r="A10" s="324"/>
      <c r="B10" s="324"/>
      <c r="C10" s="324"/>
      <c r="D10" s="324"/>
      <c r="E10" s="324"/>
      <c r="F10" s="324"/>
      <c r="G10" s="324"/>
      <c r="H10" s="94"/>
    </row>
    <row r="11" spans="1:8" ht="15" customHeight="1" x14ac:dyDescent="0.25">
      <c r="A11" s="339" t="s">
        <v>106</v>
      </c>
      <c r="B11" s="340" t="s">
        <v>0</v>
      </c>
      <c r="C11" s="340" t="s">
        <v>210</v>
      </c>
      <c r="D11" s="340" t="s">
        <v>445</v>
      </c>
      <c r="E11" s="340" t="s">
        <v>446</v>
      </c>
      <c r="F11" s="272"/>
      <c r="G11" s="272"/>
      <c r="H11" s="95"/>
    </row>
    <row r="12" spans="1:8" ht="18" x14ac:dyDescent="0.25">
      <c r="A12" s="339"/>
      <c r="B12" s="340"/>
      <c r="C12" s="340"/>
      <c r="D12" s="340"/>
      <c r="E12" s="340"/>
      <c r="F12" s="272"/>
      <c r="G12" s="272"/>
      <c r="H12" s="95"/>
    </row>
    <row r="13" spans="1:8" ht="20.25" x14ac:dyDescent="0.3">
      <c r="A13" s="341" t="s">
        <v>1176</v>
      </c>
      <c r="B13" s="328" t="s">
        <v>523</v>
      </c>
      <c r="C13" s="342">
        <v>12.9</v>
      </c>
      <c r="D13" s="342">
        <v>14.81111111111111</v>
      </c>
      <c r="E13" s="343">
        <f t="shared" ref="E13:E43" si="0">+(D13+C13)/2</f>
        <v>13.855555555555554</v>
      </c>
      <c r="F13" s="338"/>
      <c r="G13" s="272"/>
      <c r="H13" s="95"/>
    </row>
    <row r="14" spans="1:8" ht="20.25" x14ac:dyDescent="0.3">
      <c r="A14" s="341" t="s">
        <v>1177</v>
      </c>
      <c r="B14" s="328" t="s">
        <v>537</v>
      </c>
      <c r="C14" s="342">
        <v>13.055555555555557</v>
      </c>
      <c r="D14" s="342">
        <v>14.233333333333334</v>
      </c>
      <c r="E14" s="343">
        <f t="shared" si="0"/>
        <v>13.644444444444446</v>
      </c>
      <c r="F14" s="338"/>
      <c r="G14" s="271"/>
      <c r="H14" s="98"/>
    </row>
    <row r="15" spans="1:8" ht="20.25" x14ac:dyDescent="0.25">
      <c r="A15" s="341" t="s">
        <v>1178</v>
      </c>
      <c r="B15" s="328" t="s">
        <v>533</v>
      </c>
      <c r="C15" s="342">
        <v>13</v>
      </c>
      <c r="D15" s="342">
        <v>14.266666666666666</v>
      </c>
      <c r="E15" s="343">
        <f t="shared" si="0"/>
        <v>13.633333333333333</v>
      </c>
      <c r="F15" s="271"/>
      <c r="G15" s="271"/>
      <c r="H15" s="98"/>
    </row>
    <row r="16" spans="1:8" ht="22.5" customHeight="1" x14ac:dyDescent="0.3">
      <c r="A16" s="341" t="s">
        <v>1179</v>
      </c>
      <c r="B16" s="328" t="s">
        <v>521</v>
      </c>
      <c r="C16" s="342">
        <v>13.266666666666666</v>
      </c>
      <c r="D16" s="344">
        <v>13.677777777777777</v>
      </c>
      <c r="E16" s="343">
        <f t="shared" si="0"/>
        <v>13.472222222222221</v>
      </c>
      <c r="F16" s="338"/>
      <c r="G16" s="271"/>
      <c r="H16" s="98"/>
    </row>
    <row r="17" spans="1:8" ht="21" customHeight="1" x14ac:dyDescent="0.3">
      <c r="A17" s="341" t="s">
        <v>1180</v>
      </c>
      <c r="B17" s="328" t="s">
        <v>527</v>
      </c>
      <c r="C17" s="343">
        <v>12.022222222222224</v>
      </c>
      <c r="D17" s="343">
        <v>14.777777777777777</v>
      </c>
      <c r="E17" s="343">
        <f t="shared" si="0"/>
        <v>13.4</v>
      </c>
      <c r="F17" s="338"/>
      <c r="G17" s="271"/>
      <c r="H17" s="98"/>
    </row>
    <row r="18" spans="1:8" ht="20.25" x14ac:dyDescent="0.3">
      <c r="A18" s="341" t="s">
        <v>1181</v>
      </c>
      <c r="B18" s="328" t="s">
        <v>520</v>
      </c>
      <c r="C18" s="342">
        <v>12.566666666666668</v>
      </c>
      <c r="D18" s="344">
        <v>13.811111111111112</v>
      </c>
      <c r="E18" s="343">
        <f t="shared" si="0"/>
        <v>13.18888888888889</v>
      </c>
      <c r="F18" s="338"/>
      <c r="G18" s="271"/>
      <c r="H18" s="98"/>
    </row>
    <row r="19" spans="1:8" ht="22.5" customHeight="1" x14ac:dyDescent="0.3">
      <c r="A19" s="341" t="s">
        <v>1182</v>
      </c>
      <c r="B19" s="328" t="s">
        <v>538</v>
      </c>
      <c r="C19" s="343">
        <v>11.888888888888891</v>
      </c>
      <c r="D19" s="343">
        <v>14.344444444444443</v>
      </c>
      <c r="E19" s="343">
        <f t="shared" si="0"/>
        <v>13.116666666666667</v>
      </c>
      <c r="F19" s="338"/>
      <c r="G19" s="271"/>
      <c r="H19" s="98"/>
    </row>
    <row r="20" spans="1:8" ht="21.75" customHeight="1" x14ac:dyDescent="0.3">
      <c r="A20" s="341" t="s">
        <v>1183</v>
      </c>
      <c r="B20" s="328" t="s">
        <v>530</v>
      </c>
      <c r="C20" s="343">
        <v>11.677777777777777</v>
      </c>
      <c r="D20" s="343">
        <v>13.9</v>
      </c>
      <c r="E20" s="343">
        <f t="shared" si="0"/>
        <v>12.788888888888888</v>
      </c>
      <c r="F20" s="338"/>
      <c r="G20" s="271"/>
      <c r="H20" s="98"/>
    </row>
    <row r="21" spans="1:8" ht="22.5" customHeight="1" x14ac:dyDescent="0.3">
      <c r="A21" s="341" t="s">
        <v>1184</v>
      </c>
      <c r="B21" s="328" t="s">
        <v>542</v>
      </c>
      <c r="C21" s="342">
        <v>12.166666666666666</v>
      </c>
      <c r="D21" s="342">
        <v>13.255555555555555</v>
      </c>
      <c r="E21" s="343">
        <f t="shared" si="0"/>
        <v>12.71111111111111</v>
      </c>
      <c r="F21" s="338"/>
      <c r="G21" s="271"/>
      <c r="H21" s="98"/>
    </row>
    <row r="22" spans="1:8" ht="20.25" x14ac:dyDescent="0.25">
      <c r="A22" s="341" t="s">
        <v>1185</v>
      </c>
      <c r="B22" s="328" t="s">
        <v>524</v>
      </c>
      <c r="C22" s="343">
        <v>11.71111111111111</v>
      </c>
      <c r="D22" s="343">
        <v>13.644444444444444</v>
      </c>
      <c r="E22" s="343">
        <f t="shared" si="0"/>
        <v>12.677777777777777</v>
      </c>
      <c r="F22" s="271"/>
      <c r="G22" s="271"/>
      <c r="H22" s="98"/>
    </row>
    <row r="23" spans="1:8" ht="25.5" customHeight="1" x14ac:dyDescent="0.25">
      <c r="A23" s="341" t="s">
        <v>1186</v>
      </c>
      <c r="B23" s="328" t="s">
        <v>534</v>
      </c>
      <c r="C23" s="343">
        <v>12.411111111111111</v>
      </c>
      <c r="D23" s="343">
        <v>12.866666666666667</v>
      </c>
      <c r="E23" s="343">
        <f t="shared" si="0"/>
        <v>12.638888888888889</v>
      </c>
      <c r="F23" s="271"/>
      <c r="G23" s="271"/>
      <c r="H23" s="98"/>
    </row>
    <row r="24" spans="1:8" ht="23.25" customHeight="1" x14ac:dyDescent="0.3">
      <c r="A24" s="341" t="s">
        <v>1187</v>
      </c>
      <c r="B24" s="328" t="s">
        <v>525</v>
      </c>
      <c r="C24" s="344">
        <v>11.78888888888889</v>
      </c>
      <c r="D24" s="343">
        <v>13.31111111111111</v>
      </c>
      <c r="E24" s="343">
        <f t="shared" si="0"/>
        <v>12.55</v>
      </c>
      <c r="F24" s="338"/>
      <c r="G24" s="271"/>
      <c r="H24" s="98"/>
    </row>
    <row r="25" spans="1:8" ht="20.25" x14ac:dyDescent="0.3">
      <c r="A25" s="341" t="s">
        <v>1188</v>
      </c>
      <c r="B25" s="328" t="s">
        <v>531</v>
      </c>
      <c r="C25" s="342">
        <v>11.18888888888889</v>
      </c>
      <c r="D25" s="342">
        <v>13.766666666666666</v>
      </c>
      <c r="E25" s="343">
        <f t="shared" si="0"/>
        <v>12.477777777777778</v>
      </c>
      <c r="F25" s="338"/>
      <c r="G25" s="271"/>
      <c r="H25" s="98"/>
    </row>
    <row r="26" spans="1:8" ht="20.25" x14ac:dyDescent="0.3">
      <c r="A26" s="341" t="s">
        <v>1189</v>
      </c>
      <c r="B26" s="328" t="s">
        <v>544</v>
      </c>
      <c r="C26" s="344">
        <v>12.6</v>
      </c>
      <c r="D26" s="343">
        <v>12.277777777777777</v>
      </c>
      <c r="E26" s="343">
        <f t="shared" si="0"/>
        <v>12.438888888888888</v>
      </c>
      <c r="F26" s="271"/>
      <c r="G26" s="271"/>
      <c r="H26" s="98"/>
    </row>
    <row r="27" spans="1:8" ht="20.25" x14ac:dyDescent="0.3">
      <c r="A27" s="341" t="s">
        <v>1190</v>
      </c>
      <c r="B27" s="328" t="s">
        <v>516</v>
      </c>
      <c r="C27" s="343">
        <v>10.744444444444445</v>
      </c>
      <c r="D27" s="343">
        <v>14.088888888888889</v>
      </c>
      <c r="E27" s="343">
        <f t="shared" si="0"/>
        <v>12.416666666666668</v>
      </c>
      <c r="F27" s="338"/>
      <c r="G27" s="271"/>
      <c r="H27" s="98"/>
    </row>
    <row r="28" spans="1:8" ht="20.25" x14ac:dyDescent="0.3">
      <c r="A28" s="341" t="s">
        <v>1191</v>
      </c>
      <c r="B28" s="328" t="s">
        <v>998</v>
      </c>
      <c r="C28" s="344">
        <v>11</v>
      </c>
      <c r="D28" s="343">
        <v>13.633333333333333</v>
      </c>
      <c r="E28" s="343">
        <f t="shared" si="0"/>
        <v>12.316666666666666</v>
      </c>
      <c r="F28" s="338"/>
      <c r="G28" s="271"/>
      <c r="H28" s="98"/>
    </row>
    <row r="29" spans="1:8" ht="20.25" x14ac:dyDescent="0.3">
      <c r="A29" s="341" t="s">
        <v>1192</v>
      </c>
      <c r="B29" s="328" t="s">
        <v>529</v>
      </c>
      <c r="C29" s="342">
        <v>12.200000000000001</v>
      </c>
      <c r="D29" s="342">
        <v>12.200000000000001</v>
      </c>
      <c r="E29" s="343">
        <f t="shared" si="0"/>
        <v>12.200000000000001</v>
      </c>
      <c r="F29" s="338"/>
      <c r="G29" s="271"/>
      <c r="H29" s="98"/>
    </row>
    <row r="30" spans="1:8" ht="20.25" x14ac:dyDescent="0.3">
      <c r="A30" s="341" t="s">
        <v>1193</v>
      </c>
      <c r="B30" s="345" t="s">
        <v>540</v>
      </c>
      <c r="C30" s="342">
        <v>11.822222222222223</v>
      </c>
      <c r="D30" s="342">
        <v>12.544444444444444</v>
      </c>
      <c r="E30" s="343">
        <f t="shared" si="0"/>
        <v>12.183333333333334</v>
      </c>
      <c r="F30" s="338"/>
      <c r="G30" s="271"/>
      <c r="H30" s="98"/>
    </row>
    <row r="31" spans="1:8" ht="20.25" x14ac:dyDescent="0.3">
      <c r="A31" s="341" t="s">
        <v>1194</v>
      </c>
      <c r="B31" s="328" t="s">
        <v>543</v>
      </c>
      <c r="C31" s="343">
        <v>11.055555555555557</v>
      </c>
      <c r="D31" s="343">
        <v>13.277777777777777</v>
      </c>
      <c r="E31" s="343">
        <f t="shared" si="0"/>
        <v>12.166666666666668</v>
      </c>
      <c r="F31" s="338"/>
      <c r="G31" s="271"/>
      <c r="H31" s="98"/>
    </row>
    <row r="32" spans="1:8" ht="20.25" x14ac:dyDescent="0.3">
      <c r="A32" s="341" t="s">
        <v>1195</v>
      </c>
      <c r="B32" s="328" t="s">
        <v>518</v>
      </c>
      <c r="C32" s="342">
        <v>11.68888888888889</v>
      </c>
      <c r="D32" s="342">
        <v>12.522222222222224</v>
      </c>
      <c r="E32" s="343">
        <f t="shared" si="0"/>
        <v>12.105555555555558</v>
      </c>
      <c r="F32" s="338"/>
      <c r="G32" s="271"/>
      <c r="H32" s="98"/>
    </row>
    <row r="33" spans="1:8" ht="20.25" x14ac:dyDescent="0.3">
      <c r="A33" s="341" t="s">
        <v>1196</v>
      </c>
      <c r="B33" s="328" t="s">
        <v>519</v>
      </c>
      <c r="C33" s="343">
        <v>10.566666666666666</v>
      </c>
      <c r="D33" s="343">
        <v>13.044444444444444</v>
      </c>
      <c r="E33" s="343">
        <f t="shared" si="0"/>
        <v>11.805555555555555</v>
      </c>
      <c r="F33" s="338"/>
      <c r="G33" s="271"/>
      <c r="H33" s="98"/>
    </row>
    <row r="34" spans="1:8" ht="20.25" x14ac:dyDescent="0.3">
      <c r="A34" s="341" t="s">
        <v>1197</v>
      </c>
      <c r="B34" s="328" t="s">
        <v>528</v>
      </c>
      <c r="C34" s="344">
        <v>10.21111111111111</v>
      </c>
      <c r="D34" s="343">
        <v>13.066666666666668</v>
      </c>
      <c r="E34" s="343">
        <f t="shared" si="0"/>
        <v>11.638888888888889</v>
      </c>
      <c r="F34" s="338"/>
      <c r="G34" s="271"/>
      <c r="H34" s="98"/>
    </row>
    <row r="35" spans="1:8" ht="20.25" x14ac:dyDescent="0.3">
      <c r="A35" s="341" t="s">
        <v>1198</v>
      </c>
      <c r="B35" s="328" t="s">
        <v>532</v>
      </c>
      <c r="C35" s="343">
        <v>10</v>
      </c>
      <c r="D35" s="343">
        <v>12.68888888888889</v>
      </c>
      <c r="E35" s="343">
        <f t="shared" si="0"/>
        <v>11.344444444444445</v>
      </c>
      <c r="F35" s="338"/>
      <c r="G35" s="271"/>
      <c r="H35" s="98"/>
    </row>
    <row r="36" spans="1:8" ht="20.25" x14ac:dyDescent="0.3">
      <c r="A36" s="341" t="s">
        <v>1199</v>
      </c>
      <c r="B36" s="328" t="s">
        <v>535</v>
      </c>
      <c r="C36" s="342">
        <v>9.2000000000000011</v>
      </c>
      <c r="D36" s="344">
        <v>12.511111111111111</v>
      </c>
      <c r="E36" s="343">
        <f t="shared" si="0"/>
        <v>10.855555555555556</v>
      </c>
      <c r="F36" s="338"/>
      <c r="G36" s="271"/>
      <c r="H36" s="98"/>
    </row>
    <row r="37" spans="1:8" ht="20.25" x14ac:dyDescent="0.3">
      <c r="A37" s="341" t="s">
        <v>1200</v>
      </c>
      <c r="B37" s="328" t="s">
        <v>522</v>
      </c>
      <c r="C37" s="344">
        <v>9.0111111111111111</v>
      </c>
      <c r="D37" s="344">
        <v>11.622222222222222</v>
      </c>
      <c r="E37" s="343">
        <f t="shared" si="0"/>
        <v>10.316666666666666</v>
      </c>
      <c r="F37" s="338"/>
      <c r="G37" s="271"/>
      <c r="H37" s="98"/>
    </row>
    <row r="38" spans="1:8" ht="20.25" x14ac:dyDescent="0.3">
      <c r="A38" s="341" t="s">
        <v>1201</v>
      </c>
      <c r="B38" s="328" t="s">
        <v>515</v>
      </c>
      <c r="C38" s="342">
        <v>8.0777777777777775</v>
      </c>
      <c r="D38" s="342">
        <v>12.466666666666667</v>
      </c>
      <c r="E38" s="343">
        <f t="shared" si="0"/>
        <v>10.272222222222222</v>
      </c>
      <c r="F38" s="338"/>
      <c r="G38" s="271"/>
      <c r="H38" s="98"/>
    </row>
    <row r="39" spans="1:8" ht="20.25" x14ac:dyDescent="0.3">
      <c r="A39" s="341" t="s">
        <v>1202</v>
      </c>
      <c r="B39" s="328" t="s">
        <v>541</v>
      </c>
      <c r="C39" s="343">
        <v>8.4777777777777779</v>
      </c>
      <c r="D39" s="343">
        <v>11.666666666666666</v>
      </c>
      <c r="E39" s="343">
        <f t="shared" si="0"/>
        <v>10.072222222222223</v>
      </c>
      <c r="F39" s="338"/>
      <c r="G39" s="271"/>
      <c r="H39" s="98"/>
    </row>
    <row r="40" spans="1:8" ht="20.25" x14ac:dyDescent="0.3">
      <c r="A40" s="341" t="s">
        <v>1203</v>
      </c>
      <c r="B40" s="328" t="s">
        <v>526</v>
      </c>
      <c r="C40" s="342">
        <v>8.4444444444444446</v>
      </c>
      <c r="D40" s="342">
        <v>11.533333333333333</v>
      </c>
      <c r="E40" s="343">
        <f t="shared" si="0"/>
        <v>9.9888888888888889</v>
      </c>
      <c r="F40" s="338"/>
      <c r="G40" s="271"/>
      <c r="H40" s="98"/>
    </row>
    <row r="41" spans="1:8" ht="20.25" x14ac:dyDescent="0.3">
      <c r="A41" s="341" t="s">
        <v>1204</v>
      </c>
      <c r="B41" s="328" t="s">
        <v>539</v>
      </c>
      <c r="C41" s="342">
        <v>8.0888888888888886</v>
      </c>
      <c r="D41" s="344">
        <v>10.71111111111111</v>
      </c>
      <c r="E41" s="343">
        <f t="shared" si="0"/>
        <v>9.3999999999999986</v>
      </c>
      <c r="F41" s="338"/>
      <c r="G41" s="271"/>
      <c r="H41" s="189"/>
    </row>
    <row r="42" spans="1:8" ht="20.25" x14ac:dyDescent="0.3">
      <c r="A42" s="341" t="s">
        <v>1205</v>
      </c>
      <c r="B42" s="328" t="s">
        <v>536</v>
      </c>
      <c r="C42" s="342">
        <v>7.8111111111111109</v>
      </c>
      <c r="D42" s="344">
        <v>10.4555555555556</v>
      </c>
      <c r="E42" s="343">
        <f t="shared" si="0"/>
        <v>9.133333333333356</v>
      </c>
      <c r="F42" s="271"/>
      <c r="G42" s="271"/>
      <c r="H42" s="189"/>
    </row>
    <row r="43" spans="1:8" ht="20.25" x14ac:dyDescent="0.3">
      <c r="A43" s="341" t="s">
        <v>1206</v>
      </c>
      <c r="B43" s="328" t="s">
        <v>517</v>
      </c>
      <c r="C43" s="344">
        <v>5.8111111111111109</v>
      </c>
      <c r="D43" s="343">
        <v>10.611111111111111</v>
      </c>
      <c r="E43" s="343">
        <f t="shared" si="0"/>
        <v>8.2111111111111104</v>
      </c>
      <c r="F43" s="271"/>
      <c r="G43" s="271"/>
      <c r="H43" s="189"/>
    </row>
    <row r="44" spans="1:8" ht="18" x14ac:dyDescent="0.25">
      <c r="A44" s="346"/>
      <c r="B44" s="347"/>
      <c r="C44" s="348"/>
      <c r="D44" s="348"/>
      <c r="E44" s="349"/>
      <c r="F44" s="271"/>
      <c r="G44" s="271"/>
      <c r="H44" s="189"/>
    </row>
    <row r="45" spans="1:8" ht="18" x14ac:dyDescent="0.25">
      <c r="A45" s="346"/>
      <c r="B45" s="350" t="s">
        <v>392</v>
      </c>
      <c r="C45" s="350"/>
      <c r="D45" s="350"/>
      <c r="E45" s="350"/>
      <c r="F45" s="271"/>
      <c r="G45" s="271"/>
      <c r="H45" s="189"/>
    </row>
    <row r="46" spans="1:8" ht="18" x14ac:dyDescent="0.25">
      <c r="A46" s="346"/>
      <c r="B46" s="271"/>
      <c r="C46" s="271"/>
      <c r="D46" s="271"/>
      <c r="E46" s="271"/>
      <c r="F46" s="271"/>
      <c r="G46" s="271"/>
      <c r="H46" s="189"/>
    </row>
    <row r="47" spans="1:8" ht="18" x14ac:dyDescent="0.25">
      <c r="A47" s="272"/>
      <c r="B47" s="272"/>
      <c r="C47" s="273" t="s">
        <v>393</v>
      </c>
      <c r="D47" s="273" t="s">
        <v>394</v>
      </c>
      <c r="E47" s="273" t="s">
        <v>395</v>
      </c>
      <c r="F47" s="271"/>
      <c r="G47" s="271"/>
      <c r="H47" s="189"/>
    </row>
    <row r="48" spans="1:8" ht="18" x14ac:dyDescent="0.25">
      <c r="A48" s="271"/>
      <c r="B48" s="351" t="s">
        <v>396</v>
      </c>
      <c r="C48" s="273">
        <v>23</v>
      </c>
      <c r="D48" s="273">
        <v>8</v>
      </c>
      <c r="E48" s="273">
        <v>31</v>
      </c>
      <c r="F48" s="271"/>
      <c r="G48" s="271"/>
      <c r="H48" s="189"/>
    </row>
    <row r="49" spans="1:8" ht="18" x14ac:dyDescent="0.25">
      <c r="A49" s="271"/>
      <c r="B49" s="352" t="s">
        <v>397</v>
      </c>
      <c r="C49" s="273">
        <v>23</v>
      </c>
      <c r="D49" s="273">
        <v>8</v>
      </c>
      <c r="E49" s="273">
        <v>31</v>
      </c>
      <c r="F49" s="271"/>
      <c r="G49" s="271"/>
      <c r="H49" s="189"/>
    </row>
    <row r="50" spans="1:8" ht="18" x14ac:dyDescent="0.25">
      <c r="A50" s="271"/>
      <c r="B50" s="352" t="s">
        <v>398</v>
      </c>
      <c r="C50" s="273">
        <v>0</v>
      </c>
      <c r="D50" s="273">
        <v>0</v>
      </c>
      <c r="E50" s="273">
        <v>0</v>
      </c>
      <c r="F50" s="271"/>
      <c r="G50" s="271"/>
      <c r="H50" s="189"/>
    </row>
    <row r="51" spans="1:8" ht="18" x14ac:dyDescent="0.25">
      <c r="A51" s="271"/>
      <c r="B51" s="352" t="s">
        <v>399</v>
      </c>
      <c r="C51" s="273">
        <v>20</v>
      </c>
      <c r="D51" s="273">
        <v>7</v>
      </c>
      <c r="E51" s="273">
        <v>27</v>
      </c>
      <c r="F51" s="271"/>
      <c r="G51" s="271"/>
      <c r="H51" s="189"/>
    </row>
    <row r="52" spans="1:8" ht="18" x14ac:dyDescent="0.25">
      <c r="A52" s="271"/>
      <c r="B52" s="352" t="s">
        <v>400</v>
      </c>
      <c r="C52" s="273">
        <v>3</v>
      </c>
      <c r="D52" s="273">
        <v>1</v>
      </c>
      <c r="E52" s="273">
        <v>4</v>
      </c>
      <c r="F52" s="271"/>
      <c r="G52" s="271"/>
      <c r="H52" s="189"/>
    </row>
    <row r="53" spans="1:8" ht="18" x14ac:dyDescent="0.25">
      <c r="A53" s="271"/>
      <c r="B53" s="352" t="s">
        <v>401</v>
      </c>
      <c r="C53" s="274">
        <f>+C51/C48</f>
        <v>0.86956521739130432</v>
      </c>
      <c r="D53" s="274">
        <f>+D51/D48</f>
        <v>0.875</v>
      </c>
      <c r="E53" s="274">
        <f>+E51/E48</f>
        <v>0.87096774193548387</v>
      </c>
      <c r="F53" s="271"/>
      <c r="G53" s="271"/>
      <c r="H53" s="189"/>
    </row>
    <row r="54" spans="1:8" ht="18.75" x14ac:dyDescent="0.3">
      <c r="A54" s="271"/>
      <c r="B54" s="338"/>
      <c r="C54" s="338"/>
      <c r="D54" s="338"/>
      <c r="E54" s="338"/>
      <c r="F54" s="271"/>
      <c r="G54" s="271"/>
      <c r="H54" s="189"/>
    </row>
    <row r="55" spans="1:8" ht="18" x14ac:dyDescent="0.25">
      <c r="A55" s="271"/>
      <c r="B55" s="271"/>
      <c r="C55" s="271"/>
      <c r="D55" s="272" t="s">
        <v>1054</v>
      </c>
      <c r="E55" s="272"/>
      <c r="F55" s="271"/>
      <c r="G55" s="271"/>
      <c r="H55" s="98"/>
    </row>
    <row r="56" spans="1:8" ht="18" x14ac:dyDescent="0.25">
      <c r="A56" s="271"/>
      <c r="B56" s="271"/>
      <c r="C56" s="271"/>
      <c r="D56" s="271"/>
      <c r="E56" s="271"/>
      <c r="F56" s="271"/>
      <c r="G56" s="271"/>
      <c r="H56" s="98"/>
    </row>
    <row r="57" spans="1:8" ht="18.75" x14ac:dyDescent="0.3">
      <c r="A57" s="258"/>
      <c r="B57" s="258" t="s">
        <v>1053</v>
      </c>
      <c r="C57" s="272"/>
      <c r="D57" s="272" t="s">
        <v>404</v>
      </c>
      <c r="E57" s="272"/>
      <c r="F57" s="271"/>
      <c r="G57" s="271"/>
      <c r="H57" s="189"/>
    </row>
    <row r="58" spans="1:8" ht="18.75" x14ac:dyDescent="0.3">
      <c r="A58" s="272"/>
      <c r="B58" s="272"/>
      <c r="C58" s="272"/>
      <c r="D58" s="272"/>
      <c r="E58" s="272"/>
      <c r="F58" s="271"/>
      <c r="G58" s="271"/>
      <c r="H58" s="191"/>
    </row>
    <row r="59" spans="1:8" ht="18.75" x14ac:dyDescent="0.3">
      <c r="A59" s="272"/>
      <c r="B59" s="272"/>
      <c r="C59" s="272"/>
      <c r="D59" s="272"/>
      <c r="E59" s="272"/>
      <c r="F59" s="271"/>
      <c r="G59" s="271"/>
      <c r="H59" s="191"/>
    </row>
    <row r="60" spans="1:8" ht="18.75" x14ac:dyDescent="0.3">
      <c r="A60" s="272"/>
      <c r="B60" s="272"/>
      <c r="C60" s="272"/>
      <c r="D60" s="272"/>
      <c r="E60" s="272"/>
      <c r="F60" s="271"/>
      <c r="G60" s="271"/>
      <c r="H60" s="191"/>
    </row>
    <row r="61" spans="1:8" ht="18.75" x14ac:dyDescent="0.3">
      <c r="A61" s="272" t="s">
        <v>1052</v>
      </c>
      <c r="B61" s="272"/>
      <c r="C61" s="272"/>
      <c r="D61" s="283" t="s">
        <v>1055</v>
      </c>
      <c r="E61" s="283"/>
      <c r="F61" s="271"/>
      <c r="G61" s="271"/>
      <c r="H61" s="191"/>
    </row>
    <row r="62" spans="1:8" ht="18.75" x14ac:dyDescent="0.3">
      <c r="A62" s="338"/>
      <c r="B62" s="338"/>
      <c r="C62" s="338"/>
      <c r="D62" s="338"/>
      <c r="E62" s="338"/>
      <c r="F62" s="271"/>
      <c r="G62" s="271"/>
      <c r="H62" s="191"/>
    </row>
    <row r="63" spans="1:8" ht="16.5" x14ac:dyDescent="0.3">
      <c r="F63" s="94"/>
      <c r="G63" s="94"/>
      <c r="H63" s="191"/>
    </row>
    <row r="64" spans="1:8" ht="16.5" x14ac:dyDescent="0.3">
      <c r="F64" s="94"/>
      <c r="G64" s="94"/>
      <c r="H64" s="94"/>
    </row>
    <row r="65" spans="1:8" ht="16.5" x14ac:dyDescent="0.3">
      <c r="A65" s="250"/>
      <c r="B65" s="260"/>
      <c r="C65" s="260"/>
      <c r="D65" s="260"/>
      <c r="E65" s="260"/>
      <c r="F65" s="94"/>
      <c r="G65" s="94"/>
      <c r="H65" s="94"/>
    </row>
    <row r="66" spans="1:8" ht="16.5" x14ac:dyDescent="0.3">
      <c r="F66" s="94"/>
      <c r="G66" s="94"/>
      <c r="H66" s="94"/>
    </row>
    <row r="67" spans="1:8" ht="16.5" x14ac:dyDescent="0.3">
      <c r="F67" s="94"/>
      <c r="G67" s="94"/>
      <c r="H67" s="94"/>
    </row>
    <row r="68" spans="1:8" ht="16.5" x14ac:dyDescent="0.3">
      <c r="F68" s="94"/>
      <c r="G68" s="94"/>
      <c r="H68" s="94"/>
    </row>
    <row r="69" spans="1:8" ht="16.5" x14ac:dyDescent="0.3">
      <c r="F69" s="94"/>
      <c r="G69" s="94"/>
      <c r="H69" s="94"/>
    </row>
    <row r="70" spans="1:8" ht="16.5" x14ac:dyDescent="0.3">
      <c r="F70" s="94"/>
      <c r="G70" s="94"/>
      <c r="H70" s="94"/>
    </row>
    <row r="71" spans="1:8" ht="16.5" x14ac:dyDescent="0.3">
      <c r="F71" s="94"/>
      <c r="G71" s="94"/>
      <c r="H71" s="94"/>
    </row>
    <row r="72" spans="1:8" ht="16.5" x14ac:dyDescent="0.3">
      <c r="F72" s="94"/>
      <c r="G72" s="94"/>
      <c r="H72" s="94"/>
    </row>
    <row r="73" spans="1:8" ht="16.5" x14ac:dyDescent="0.3">
      <c r="F73" s="94"/>
      <c r="G73" s="94"/>
      <c r="H73" s="94"/>
    </row>
    <row r="74" spans="1:8" ht="16.5" x14ac:dyDescent="0.3">
      <c r="F74" s="94"/>
      <c r="G74" s="94"/>
      <c r="H74" s="94"/>
    </row>
    <row r="75" spans="1:8" ht="16.5" x14ac:dyDescent="0.3">
      <c r="F75" s="94"/>
      <c r="G75" s="94"/>
      <c r="H75" s="94"/>
    </row>
    <row r="76" spans="1:8" ht="16.5" x14ac:dyDescent="0.3">
      <c r="F76" s="94"/>
      <c r="G76" s="94"/>
      <c r="H76" s="94"/>
    </row>
    <row r="77" spans="1:8" ht="16.5" x14ac:dyDescent="0.3">
      <c r="F77" s="94"/>
      <c r="G77" s="94"/>
      <c r="H77" s="94"/>
    </row>
    <row r="78" spans="1:8" ht="16.5" x14ac:dyDescent="0.3">
      <c r="F78" s="94"/>
      <c r="G78" s="94"/>
      <c r="H78" s="94"/>
    </row>
    <row r="79" spans="1:8" ht="16.5" x14ac:dyDescent="0.3">
      <c r="F79" s="94"/>
      <c r="G79" s="94"/>
      <c r="H79" s="94"/>
    </row>
    <row r="80" spans="1:8" ht="16.5" x14ac:dyDescent="0.3">
      <c r="F80" s="94"/>
      <c r="G80" s="94"/>
      <c r="H80" s="94"/>
    </row>
    <row r="81" spans="6:8" ht="16.5" x14ac:dyDescent="0.3">
      <c r="F81" s="94"/>
      <c r="G81" s="94"/>
      <c r="H81" s="94"/>
    </row>
    <row r="82" spans="6:8" ht="16.5" x14ac:dyDescent="0.3">
      <c r="F82" s="94"/>
      <c r="G82" s="94"/>
      <c r="H82" s="94"/>
    </row>
    <row r="83" spans="6:8" ht="16.5" x14ac:dyDescent="0.3">
      <c r="F83" s="94"/>
      <c r="G83" s="94"/>
      <c r="H83" s="94"/>
    </row>
    <row r="84" spans="6:8" ht="16.5" x14ac:dyDescent="0.3">
      <c r="F84" s="94"/>
      <c r="G84" s="94"/>
      <c r="H84" s="94"/>
    </row>
    <row r="85" spans="6:8" x14ac:dyDescent="0.25">
      <c r="F85" s="104"/>
      <c r="G85" s="104"/>
      <c r="H85" s="104"/>
    </row>
    <row r="86" spans="6:8" x14ac:dyDescent="0.25">
      <c r="F86" s="104"/>
      <c r="G86" s="104"/>
      <c r="H86" s="104"/>
    </row>
    <row r="87" spans="6:8" x14ac:dyDescent="0.25">
      <c r="F87" s="104"/>
      <c r="G87" s="104"/>
      <c r="H87" s="104"/>
    </row>
    <row r="88" spans="6:8" x14ac:dyDescent="0.25">
      <c r="F88" s="104"/>
      <c r="G88" s="104"/>
      <c r="H88" s="104"/>
    </row>
    <row r="89" spans="6:8" x14ac:dyDescent="0.25">
      <c r="F89" s="104"/>
      <c r="G89" s="104"/>
      <c r="H89" s="104"/>
    </row>
    <row r="90" spans="6:8" x14ac:dyDescent="0.25">
      <c r="F90" s="104"/>
      <c r="G90" s="104"/>
      <c r="H90" s="104"/>
    </row>
    <row r="91" spans="6:8" x14ac:dyDescent="0.25">
      <c r="F91" s="104"/>
      <c r="G91" s="104"/>
      <c r="H91" s="104"/>
    </row>
    <row r="92" spans="6:8" x14ac:dyDescent="0.25">
      <c r="F92" s="104"/>
      <c r="G92" s="104"/>
      <c r="H92" s="104"/>
    </row>
    <row r="93" spans="6:8" x14ac:dyDescent="0.25">
      <c r="F93" s="104"/>
      <c r="G93" s="104"/>
      <c r="H93" s="104"/>
    </row>
    <row r="94" spans="6:8" x14ac:dyDescent="0.25">
      <c r="F94" s="104"/>
      <c r="G94" s="104"/>
      <c r="H94" s="104"/>
    </row>
    <row r="95" spans="6:8" ht="16.5" x14ac:dyDescent="0.3">
      <c r="F95" s="94"/>
      <c r="G95" s="298"/>
      <c r="H95" s="298"/>
    </row>
    <row r="96" spans="6:8" ht="16.5" x14ac:dyDescent="0.3">
      <c r="F96" s="94"/>
      <c r="G96" s="94"/>
      <c r="H96" s="94"/>
    </row>
    <row r="97" spans="6:8" ht="16.5" x14ac:dyDescent="0.3">
      <c r="F97" s="94"/>
      <c r="G97" s="298"/>
      <c r="H97" s="298"/>
    </row>
    <row r="98" spans="6:8" ht="16.5" x14ac:dyDescent="0.3">
      <c r="F98" s="94"/>
      <c r="G98" s="94"/>
      <c r="H98" s="94"/>
    </row>
    <row r="99" spans="6:8" ht="16.5" x14ac:dyDescent="0.3">
      <c r="F99" s="94"/>
      <c r="G99" s="94"/>
      <c r="H99" s="94"/>
    </row>
    <row r="100" spans="6:8" ht="16.5" x14ac:dyDescent="0.3">
      <c r="F100" s="94"/>
      <c r="G100" s="94"/>
      <c r="H100" s="94"/>
    </row>
    <row r="101" spans="6:8" ht="16.5" x14ac:dyDescent="0.3">
      <c r="F101" s="94"/>
      <c r="G101" s="298"/>
      <c r="H101" s="298"/>
    </row>
    <row r="102" spans="6:8" ht="16.5" x14ac:dyDescent="0.3">
      <c r="F102" s="94"/>
      <c r="G102" s="94"/>
      <c r="H102" s="94"/>
    </row>
  </sheetData>
  <sortState ref="B13:E43">
    <sortCondition descending="1" ref="E13:E43"/>
  </sortState>
  <mergeCells count="13">
    <mergeCell ref="G95:H95"/>
    <mergeCell ref="G97:H97"/>
    <mergeCell ref="G101:H101"/>
    <mergeCell ref="D61:E61"/>
    <mergeCell ref="C4:E4"/>
    <mergeCell ref="B7:G7"/>
    <mergeCell ref="C8:G8"/>
    <mergeCell ref="A9:G10"/>
    <mergeCell ref="A11:A12"/>
    <mergeCell ref="B11:B12"/>
    <mergeCell ref="C11:C12"/>
    <mergeCell ref="D11:D12"/>
    <mergeCell ref="E11:E12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H126"/>
  <sheetViews>
    <sheetView topLeftCell="A37" workbookViewId="0">
      <selection activeCell="C56" sqref="C56"/>
    </sheetView>
  </sheetViews>
  <sheetFormatPr baseColWidth="10" defaultColWidth="11.42578125" defaultRowHeight="16.5" x14ac:dyDescent="0.3"/>
  <cols>
    <col min="1" max="1" width="3.85546875" style="2" customWidth="1"/>
    <col min="2" max="2" width="35.28515625" style="4" customWidth="1"/>
    <col min="3" max="3" width="9" style="4" customWidth="1"/>
    <col min="4" max="4" width="11.28515625" style="4" customWidth="1"/>
    <col min="5" max="5" width="9.85546875" style="4" customWidth="1"/>
    <col min="6" max="6" width="11.42578125" style="2"/>
    <col min="7" max="7" width="7.85546875" style="2" customWidth="1"/>
    <col min="8" max="16384" width="11.42578125" style="2"/>
  </cols>
  <sheetData>
    <row r="1" spans="1:8" x14ac:dyDescent="0.3">
      <c r="A1" s="1" t="s">
        <v>929</v>
      </c>
      <c r="B1" s="6"/>
      <c r="C1" s="285" t="s">
        <v>108</v>
      </c>
      <c r="D1" s="285"/>
      <c r="E1" s="285"/>
      <c r="F1" s="285"/>
      <c r="G1" s="285"/>
    </row>
    <row r="2" spans="1:8" x14ac:dyDescent="0.3">
      <c r="A2" s="1" t="s">
        <v>930</v>
      </c>
      <c r="B2" s="6"/>
      <c r="C2" s="285" t="s">
        <v>6</v>
      </c>
      <c r="D2" s="285"/>
      <c r="E2" s="285"/>
      <c r="F2" s="285"/>
      <c r="G2" s="285"/>
    </row>
    <row r="3" spans="1:8" x14ac:dyDescent="0.3">
      <c r="A3" s="1" t="s">
        <v>931</v>
      </c>
      <c r="B3" s="6"/>
      <c r="C3" s="2"/>
      <c r="D3" s="2"/>
      <c r="E3" s="2"/>
    </row>
    <row r="4" spans="1:8" x14ac:dyDescent="0.3">
      <c r="A4" s="1" t="s">
        <v>932</v>
      </c>
      <c r="B4" s="6"/>
      <c r="C4" s="2"/>
      <c r="D4" s="2"/>
      <c r="E4" s="2"/>
    </row>
    <row r="5" spans="1:8" x14ac:dyDescent="0.3">
      <c r="B5" s="279" t="s">
        <v>933</v>
      </c>
      <c r="C5" s="279"/>
      <c r="D5" s="279"/>
      <c r="E5" s="279"/>
      <c r="F5" s="279"/>
      <c r="G5" s="279"/>
    </row>
    <row r="6" spans="1:8" ht="18" x14ac:dyDescent="0.3">
      <c r="B6" s="285" t="s">
        <v>109</v>
      </c>
      <c r="C6" s="285"/>
      <c r="D6" s="285"/>
      <c r="E6" s="285"/>
      <c r="F6" s="285"/>
      <c r="G6" s="285"/>
    </row>
    <row r="7" spans="1:8" x14ac:dyDescent="0.3">
      <c r="B7" s="280" t="s">
        <v>946</v>
      </c>
      <c r="C7" s="280"/>
      <c r="D7" s="280"/>
      <c r="E7" s="280"/>
      <c r="F7" s="280"/>
      <c r="G7" s="280"/>
      <c r="H7" s="36"/>
    </row>
    <row r="8" spans="1:8" x14ac:dyDescent="0.3">
      <c r="B8" s="280"/>
      <c r="C8" s="280"/>
      <c r="D8" s="280"/>
      <c r="E8" s="280"/>
      <c r="F8" s="280"/>
      <c r="G8" s="280"/>
      <c r="H8" s="36"/>
    </row>
    <row r="9" spans="1:8" x14ac:dyDescent="0.3">
      <c r="B9" s="278"/>
      <c r="C9" s="278"/>
      <c r="D9" s="278"/>
      <c r="E9" s="278"/>
    </row>
    <row r="10" spans="1:8" s="8" customFormat="1" ht="17.25" customHeight="1" x14ac:dyDescent="0.2">
      <c r="A10" s="288" t="s">
        <v>106</v>
      </c>
      <c r="B10" s="286" t="s">
        <v>0</v>
      </c>
      <c r="C10" s="286" t="s">
        <v>208</v>
      </c>
      <c r="D10" s="286" t="s">
        <v>209</v>
      </c>
      <c r="E10" s="286" t="s">
        <v>210</v>
      </c>
    </row>
    <row r="11" spans="1:8" s="8" customFormat="1" ht="28.5" customHeight="1" x14ac:dyDescent="0.2">
      <c r="A11" s="289"/>
      <c r="B11" s="287"/>
      <c r="C11" s="287"/>
      <c r="D11" s="287"/>
      <c r="E11" s="287"/>
    </row>
    <row r="12" spans="1:8" s="5" customFormat="1" x14ac:dyDescent="0.3">
      <c r="A12" s="40">
        <v>1</v>
      </c>
      <c r="B12" s="206" t="s">
        <v>554</v>
      </c>
      <c r="C12" s="213">
        <v>16.8</v>
      </c>
      <c r="D12" s="213">
        <v>15.916666666666666</v>
      </c>
      <c r="E12" s="210">
        <v>16.211111111111112</v>
      </c>
    </row>
    <row r="13" spans="1:8" s="5" customFormat="1" ht="16.5" customHeight="1" x14ac:dyDescent="0.3">
      <c r="A13" s="40">
        <v>2</v>
      </c>
      <c r="B13" s="209" t="s">
        <v>597</v>
      </c>
      <c r="C13" s="213">
        <v>16.399999999999999</v>
      </c>
      <c r="D13" s="213">
        <v>14.583333333333334</v>
      </c>
      <c r="E13" s="210">
        <v>15.188888888888888</v>
      </c>
    </row>
    <row r="14" spans="1:8" s="5" customFormat="1" x14ac:dyDescent="0.3">
      <c r="A14" s="40">
        <v>3</v>
      </c>
      <c r="B14" s="209" t="s">
        <v>585</v>
      </c>
      <c r="C14" s="213">
        <v>15</v>
      </c>
      <c r="D14" s="213">
        <v>15.25</v>
      </c>
      <c r="E14" s="210">
        <v>15.166666666666666</v>
      </c>
    </row>
    <row r="15" spans="1:8" s="5" customFormat="1" x14ac:dyDescent="0.3">
      <c r="A15" s="40">
        <v>4</v>
      </c>
      <c r="B15" s="209" t="s">
        <v>595</v>
      </c>
      <c r="C15" s="213">
        <v>16.399999999999999</v>
      </c>
      <c r="D15" s="213">
        <v>14.5</v>
      </c>
      <c r="E15" s="210">
        <v>15.133333333333333</v>
      </c>
    </row>
    <row r="16" spans="1:8" s="5" customFormat="1" x14ac:dyDescent="0.3">
      <c r="A16" s="40">
        <v>5</v>
      </c>
      <c r="B16" s="209" t="s">
        <v>580</v>
      </c>
      <c r="C16" s="213">
        <v>15.4</v>
      </c>
      <c r="D16" s="213">
        <v>14.25</v>
      </c>
      <c r="E16" s="210">
        <v>14.633333333333333</v>
      </c>
    </row>
    <row r="17" spans="1:8" s="5" customFormat="1" x14ac:dyDescent="0.3">
      <c r="A17" s="40">
        <v>6</v>
      </c>
      <c r="B17" s="206" t="s">
        <v>561</v>
      </c>
      <c r="C17" s="213">
        <v>15.7</v>
      </c>
      <c r="D17" s="213">
        <v>13.833333333333334</v>
      </c>
      <c r="E17" s="210">
        <v>14.455555555555556</v>
      </c>
    </row>
    <row r="18" spans="1:8" s="5" customFormat="1" x14ac:dyDescent="0.3">
      <c r="A18" s="40">
        <v>7</v>
      </c>
      <c r="B18" s="206" t="s">
        <v>571</v>
      </c>
      <c r="C18" s="213">
        <v>15.7</v>
      </c>
      <c r="D18" s="213">
        <v>13.166666666666666</v>
      </c>
      <c r="E18" s="210">
        <v>14.011111111111111</v>
      </c>
    </row>
    <row r="19" spans="1:8" s="5" customFormat="1" x14ac:dyDescent="0.3">
      <c r="A19" s="40">
        <v>8</v>
      </c>
      <c r="B19" s="209" t="s">
        <v>579</v>
      </c>
      <c r="C19" s="213">
        <v>14.8</v>
      </c>
      <c r="D19" s="213">
        <v>13</v>
      </c>
      <c r="E19" s="210">
        <v>13.6</v>
      </c>
    </row>
    <row r="20" spans="1:8" s="5" customFormat="1" x14ac:dyDescent="0.3">
      <c r="A20" s="40">
        <v>9</v>
      </c>
      <c r="B20" s="209" t="s">
        <v>558</v>
      </c>
      <c r="C20" s="213">
        <v>13.7</v>
      </c>
      <c r="D20" s="213">
        <v>13.5</v>
      </c>
      <c r="E20" s="210">
        <v>13.566666666666668</v>
      </c>
    </row>
    <row r="21" spans="1:8" s="5" customFormat="1" x14ac:dyDescent="0.3">
      <c r="A21" s="40">
        <v>10</v>
      </c>
      <c r="B21" s="209" t="s">
        <v>588</v>
      </c>
      <c r="C21" s="213">
        <v>14.4</v>
      </c>
      <c r="D21" s="213">
        <v>12.833333333333334</v>
      </c>
      <c r="E21" s="210">
        <v>13.355555555555556</v>
      </c>
    </row>
    <row r="22" spans="1:8" s="5" customFormat="1" ht="33" x14ac:dyDescent="0.3">
      <c r="A22" s="40">
        <v>11</v>
      </c>
      <c r="B22" s="20" t="s">
        <v>568</v>
      </c>
      <c r="C22" s="213">
        <v>13.8</v>
      </c>
      <c r="D22" s="213">
        <v>12.25</v>
      </c>
      <c r="E22" s="210">
        <v>12.766666666666666</v>
      </c>
    </row>
    <row r="23" spans="1:8" s="5" customFormat="1" x14ac:dyDescent="0.3">
      <c r="A23" s="40">
        <v>12</v>
      </c>
      <c r="B23" s="209" t="s">
        <v>598</v>
      </c>
      <c r="C23" s="213">
        <v>10.8</v>
      </c>
      <c r="D23" s="213">
        <v>13.75</v>
      </c>
      <c r="E23" s="210">
        <v>12.766666666666666</v>
      </c>
    </row>
    <row r="24" spans="1:8" s="5" customFormat="1" x14ac:dyDescent="0.3">
      <c r="A24" s="40">
        <v>13</v>
      </c>
      <c r="B24" s="209" t="s">
        <v>562</v>
      </c>
      <c r="C24" s="213">
        <v>13.3</v>
      </c>
      <c r="D24" s="213">
        <v>12.333333333333334</v>
      </c>
      <c r="E24" s="210">
        <v>12.655555555555557</v>
      </c>
    </row>
    <row r="25" spans="1:8" s="5" customFormat="1" ht="18.75" customHeight="1" x14ac:dyDescent="0.3">
      <c r="A25" s="40">
        <v>14</v>
      </c>
      <c r="B25" s="209" t="s">
        <v>601</v>
      </c>
      <c r="C25" s="213">
        <v>13.4</v>
      </c>
      <c r="D25" s="213">
        <v>11.666666666666666</v>
      </c>
      <c r="E25" s="210">
        <v>12.244444444444445</v>
      </c>
    </row>
    <row r="26" spans="1:8" s="5" customFormat="1" ht="15" customHeight="1" x14ac:dyDescent="0.3">
      <c r="A26" s="40">
        <v>15</v>
      </c>
      <c r="B26" s="209" t="s">
        <v>570</v>
      </c>
      <c r="C26" s="213">
        <v>12.5</v>
      </c>
      <c r="D26" s="213">
        <v>12.083333333333334</v>
      </c>
      <c r="E26" s="210">
        <v>12.222222222222223</v>
      </c>
    </row>
    <row r="27" spans="1:8" s="5" customFormat="1" x14ac:dyDescent="0.3">
      <c r="A27" s="12">
        <v>16</v>
      </c>
      <c r="B27" s="206" t="s">
        <v>559</v>
      </c>
      <c r="C27" s="213">
        <v>12.6</v>
      </c>
      <c r="D27" s="213">
        <v>11.5</v>
      </c>
      <c r="E27" s="210">
        <v>11.866666666666667</v>
      </c>
    </row>
    <row r="28" spans="1:8" s="5" customFormat="1" x14ac:dyDescent="0.3">
      <c r="A28" s="40">
        <v>17</v>
      </c>
      <c r="B28" s="209" t="s">
        <v>603</v>
      </c>
      <c r="C28" s="213">
        <v>13.6</v>
      </c>
      <c r="D28" s="213">
        <v>11</v>
      </c>
      <c r="E28" s="210">
        <v>11.866666666666667</v>
      </c>
      <c r="H28" s="188"/>
    </row>
    <row r="29" spans="1:8" s="5" customFormat="1" x14ac:dyDescent="0.3">
      <c r="A29" s="40">
        <v>18</v>
      </c>
      <c r="B29" s="209" t="s">
        <v>546</v>
      </c>
      <c r="C29" s="213">
        <v>13.7</v>
      </c>
      <c r="D29" s="213">
        <v>10.916666666666666</v>
      </c>
      <c r="E29" s="210">
        <v>11.844444444444443</v>
      </c>
      <c r="H29" s="188"/>
    </row>
    <row r="30" spans="1:8" s="5" customFormat="1" ht="17.25" customHeight="1" x14ac:dyDescent="0.3">
      <c r="A30" s="40">
        <v>19</v>
      </c>
      <c r="B30" s="209" t="s">
        <v>557</v>
      </c>
      <c r="C30" s="213">
        <v>12.1</v>
      </c>
      <c r="D30" s="213">
        <v>11.333333333333334</v>
      </c>
      <c r="E30" s="210">
        <v>11.588888888888889</v>
      </c>
    </row>
    <row r="31" spans="1:8" s="5" customFormat="1" ht="20.25" customHeight="1" x14ac:dyDescent="0.3">
      <c r="A31" s="40">
        <v>20</v>
      </c>
      <c r="B31" s="209" t="s">
        <v>551</v>
      </c>
      <c r="C31" s="213">
        <v>13</v>
      </c>
      <c r="D31" s="213">
        <v>10.666666666666666</v>
      </c>
      <c r="E31" s="210">
        <v>11.444444444444443</v>
      </c>
    </row>
    <row r="32" spans="1:8" s="5" customFormat="1" x14ac:dyDescent="0.3">
      <c r="A32" s="40">
        <v>21</v>
      </c>
      <c r="B32" s="206" t="s">
        <v>600</v>
      </c>
      <c r="C32" s="213">
        <v>12</v>
      </c>
      <c r="D32" s="213">
        <v>11.166666666666666</v>
      </c>
      <c r="E32" s="210">
        <v>11.4444444444444</v>
      </c>
    </row>
    <row r="33" spans="1:5" s="5" customFormat="1" x14ac:dyDescent="0.3">
      <c r="A33" s="40">
        <v>22</v>
      </c>
      <c r="B33" s="209" t="s">
        <v>591</v>
      </c>
      <c r="C33" s="213">
        <v>13.8</v>
      </c>
      <c r="D33" s="213">
        <v>10.25</v>
      </c>
      <c r="E33" s="210">
        <v>11.433333333333332</v>
      </c>
    </row>
    <row r="34" spans="1:5" s="5" customFormat="1" x14ac:dyDescent="0.3">
      <c r="A34" s="40">
        <v>23</v>
      </c>
      <c r="B34" s="209" t="s">
        <v>592</v>
      </c>
      <c r="C34" s="213">
        <v>12.9</v>
      </c>
      <c r="D34" s="213">
        <v>10.5</v>
      </c>
      <c r="E34" s="210">
        <v>11.299999999999999</v>
      </c>
    </row>
    <row r="35" spans="1:5" s="5" customFormat="1" x14ac:dyDescent="0.3">
      <c r="A35" s="40">
        <v>24</v>
      </c>
      <c r="B35" s="209" t="s">
        <v>576</v>
      </c>
      <c r="C35" s="213">
        <v>13</v>
      </c>
      <c r="D35" s="213">
        <v>10.166666666666666</v>
      </c>
      <c r="E35" s="210">
        <v>11.111111111111109</v>
      </c>
    </row>
    <row r="36" spans="1:5" s="5" customFormat="1" ht="18.75" customHeight="1" x14ac:dyDescent="0.3">
      <c r="A36" s="40">
        <v>25</v>
      </c>
      <c r="B36" s="209" t="s">
        <v>569</v>
      </c>
      <c r="C36" s="213">
        <v>11.9</v>
      </c>
      <c r="D36" s="213">
        <v>10.583333333333334</v>
      </c>
      <c r="E36" s="210">
        <v>11.022222222222224</v>
      </c>
    </row>
    <row r="37" spans="1:5" s="5" customFormat="1" ht="18.75" customHeight="1" x14ac:dyDescent="0.3">
      <c r="A37" s="40">
        <v>26</v>
      </c>
      <c r="B37" s="209" t="s">
        <v>578</v>
      </c>
      <c r="C37" s="213">
        <v>12</v>
      </c>
      <c r="D37" s="213">
        <v>10.083333333333334</v>
      </c>
      <c r="E37" s="210">
        <v>10.722222222222223</v>
      </c>
    </row>
    <row r="38" spans="1:5" s="5" customFormat="1" x14ac:dyDescent="0.3">
      <c r="A38" s="40">
        <v>27</v>
      </c>
      <c r="B38" s="209" t="s">
        <v>552</v>
      </c>
      <c r="C38" s="213">
        <v>12.1</v>
      </c>
      <c r="D38" s="213">
        <v>9.9166666666666661</v>
      </c>
      <c r="E38" s="210">
        <v>10.644444444444444</v>
      </c>
    </row>
    <row r="39" spans="1:5" s="5" customFormat="1" x14ac:dyDescent="0.3">
      <c r="A39" s="40">
        <v>28</v>
      </c>
      <c r="B39" s="209" t="s">
        <v>596</v>
      </c>
      <c r="C39" s="213">
        <v>11.9</v>
      </c>
      <c r="D39" s="213">
        <v>9.9166666666666661</v>
      </c>
      <c r="E39" s="210">
        <v>10.577777777777778</v>
      </c>
    </row>
    <row r="40" spans="1:5" s="5" customFormat="1" x14ac:dyDescent="0.3">
      <c r="A40" s="40">
        <v>29</v>
      </c>
      <c r="B40" s="209" t="s">
        <v>567</v>
      </c>
      <c r="C40" s="213">
        <v>13.1</v>
      </c>
      <c r="D40" s="213">
        <v>9.25</v>
      </c>
      <c r="E40" s="210">
        <v>10.533333333333333</v>
      </c>
    </row>
    <row r="41" spans="1:5" s="5" customFormat="1" x14ac:dyDescent="0.3">
      <c r="A41" s="40">
        <v>30</v>
      </c>
      <c r="B41" s="209" t="s">
        <v>565</v>
      </c>
      <c r="C41" s="213">
        <v>11.8</v>
      </c>
      <c r="D41" s="213">
        <v>9.6666666666666661</v>
      </c>
      <c r="E41" s="210">
        <v>10.377777777777778</v>
      </c>
    </row>
    <row r="42" spans="1:5" s="5" customFormat="1" x14ac:dyDescent="0.3">
      <c r="A42" s="40">
        <v>31</v>
      </c>
      <c r="B42" s="209" t="s">
        <v>564</v>
      </c>
      <c r="C42" s="213">
        <v>11.5</v>
      </c>
      <c r="D42" s="213">
        <v>9.3333333333333339</v>
      </c>
      <c r="E42" s="210">
        <v>10.055555555555555</v>
      </c>
    </row>
    <row r="43" spans="1:5" s="5" customFormat="1" x14ac:dyDescent="0.3">
      <c r="A43" s="40">
        <v>32</v>
      </c>
      <c r="B43" s="209" t="s">
        <v>545</v>
      </c>
      <c r="C43" s="210">
        <v>11.2</v>
      </c>
      <c r="D43" s="210">
        <v>9.4166666666666661</v>
      </c>
      <c r="E43" s="210">
        <v>10.011111111111111</v>
      </c>
    </row>
    <row r="44" spans="1:5" s="5" customFormat="1" x14ac:dyDescent="0.3">
      <c r="A44" s="40">
        <v>33</v>
      </c>
      <c r="B44" s="21" t="s">
        <v>547</v>
      </c>
      <c r="C44" s="213">
        <v>11.9</v>
      </c>
      <c r="D44" s="213">
        <v>8.8333333333333339</v>
      </c>
      <c r="E44" s="210">
        <v>9.8555555555555561</v>
      </c>
    </row>
    <row r="45" spans="1:5" s="5" customFormat="1" x14ac:dyDescent="0.3">
      <c r="A45" s="40">
        <v>34</v>
      </c>
      <c r="B45" s="209" t="s">
        <v>553</v>
      </c>
      <c r="C45" s="213">
        <v>11.7</v>
      </c>
      <c r="D45" s="213">
        <v>8.8333333333333339</v>
      </c>
      <c r="E45" s="210">
        <v>9.7888888888888896</v>
      </c>
    </row>
    <row r="46" spans="1:5" s="5" customFormat="1" x14ac:dyDescent="0.3">
      <c r="A46" s="40">
        <v>35</v>
      </c>
      <c r="B46" s="209" t="s">
        <v>577</v>
      </c>
      <c r="C46" s="213">
        <v>13.4</v>
      </c>
      <c r="D46" s="213">
        <v>7.916666666666667</v>
      </c>
      <c r="E46" s="210">
        <v>9.7444444444444454</v>
      </c>
    </row>
    <row r="47" spans="1:5" s="5" customFormat="1" x14ac:dyDescent="0.3">
      <c r="A47" s="40">
        <v>36</v>
      </c>
      <c r="B47" s="209" t="s">
        <v>563</v>
      </c>
      <c r="C47" s="213">
        <v>11.7</v>
      </c>
      <c r="D47" s="213">
        <v>8.75</v>
      </c>
      <c r="E47" s="210">
        <v>9.7333333333333325</v>
      </c>
    </row>
    <row r="48" spans="1:5" s="5" customFormat="1" x14ac:dyDescent="0.3">
      <c r="A48" s="40">
        <v>37</v>
      </c>
      <c r="B48" s="209" t="s">
        <v>584</v>
      </c>
      <c r="C48" s="213">
        <v>10.1</v>
      </c>
      <c r="D48" s="213">
        <v>9.25</v>
      </c>
      <c r="E48" s="210">
        <v>9.5333333333333332</v>
      </c>
    </row>
    <row r="49" spans="1:5" s="5" customFormat="1" x14ac:dyDescent="0.3">
      <c r="A49" s="40">
        <v>38</v>
      </c>
      <c r="B49" s="209" t="s">
        <v>575</v>
      </c>
      <c r="C49" s="213">
        <v>10.5</v>
      </c>
      <c r="D49" s="213">
        <v>9</v>
      </c>
      <c r="E49" s="210">
        <v>9.5</v>
      </c>
    </row>
    <row r="50" spans="1:5" s="5" customFormat="1" x14ac:dyDescent="0.3">
      <c r="A50" s="40">
        <v>39</v>
      </c>
      <c r="B50" s="209" t="s">
        <v>581</v>
      </c>
      <c r="C50" s="213">
        <v>10.1</v>
      </c>
      <c r="D50" s="213">
        <v>9.1666666666666661</v>
      </c>
      <c r="E50" s="210">
        <v>9.4777777777777761</v>
      </c>
    </row>
    <row r="51" spans="1:5" s="5" customFormat="1" x14ac:dyDescent="0.3">
      <c r="A51" s="40">
        <v>40</v>
      </c>
      <c r="B51" s="206" t="s">
        <v>555</v>
      </c>
      <c r="C51" s="213">
        <v>10.3</v>
      </c>
      <c r="D51" s="213">
        <v>8.6666666666666661</v>
      </c>
      <c r="E51" s="210">
        <v>9.2111111111111104</v>
      </c>
    </row>
    <row r="52" spans="1:5" s="5" customFormat="1" ht="18.75" customHeight="1" x14ac:dyDescent="0.3">
      <c r="A52" s="40">
        <v>41</v>
      </c>
      <c r="B52" s="209" t="s">
        <v>586</v>
      </c>
      <c r="C52" s="213">
        <v>11.3</v>
      </c>
      <c r="D52" s="213">
        <v>8.0833333333333339</v>
      </c>
      <c r="E52" s="210">
        <v>9.1555555555555568</v>
      </c>
    </row>
    <row r="53" spans="1:5" s="5" customFormat="1" ht="21.75" customHeight="1" x14ac:dyDescent="0.3">
      <c r="A53" s="40">
        <v>42</v>
      </c>
      <c r="B53" s="209" t="s">
        <v>573</v>
      </c>
      <c r="C53" s="213">
        <v>10.6</v>
      </c>
      <c r="D53" s="213">
        <v>8.4166666666666661</v>
      </c>
      <c r="E53" s="210">
        <v>9.1444444444444439</v>
      </c>
    </row>
    <row r="54" spans="1:5" s="5" customFormat="1" x14ac:dyDescent="0.3">
      <c r="A54" s="40">
        <v>43</v>
      </c>
      <c r="B54" s="209" t="s">
        <v>566</v>
      </c>
      <c r="C54" s="213">
        <v>10.9</v>
      </c>
      <c r="D54" s="213">
        <v>8.25</v>
      </c>
      <c r="E54" s="210">
        <v>9.1333333333333329</v>
      </c>
    </row>
    <row r="55" spans="1:5" s="5" customFormat="1" ht="15" customHeight="1" x14ac:dyDescent="0.3">
      <c r="A55" s="40">
        <v>44</v>
      </c>
      <c r="B55" s="209" t="s">
        <v>548</v>
      </c>
      <c r="C55" s="213">
        <v>12</v>
      </c>
      <c r="D55" s="213">
        <v>7.666666666666667</v>
      </c>
      <c r="E55" s="210">
        <v>9.1111111111111125</v>
      </c>
    </row>
    <row r="56" spans="1:5" s="5" customFormat="1" ht="21" customHeight="1" x14ac:dyDescent="0.3">
      <c r="A56" s="40">
        <v>45</v>
      </c>
      <c r="B56" s="206" t="s">
        <v>589</v>
      </c>
      <c r="C56" s="213">
        <v>10.6</v>
      </c>
      <c r="D56" s="213">
        <v>8.25</v>
      </c>
      <c r="E56" s="210">
        <v>9.0333333333333332</v>
      </c>
    </row>
    <row r="57" spans="1:5" s="5" customFormat="1" x14ac:dyDescent="0.3">
      <c r="A57" s="40">
        <v>46</v>
      </c>
      <c r="B57" s="209" t="s">
        <v>550</v>
      </c>
      <c r="C57" s="213">
        <v>11.1</v>
      </c>
      <c r="D57" s="213">
        <v>7.75</v>
      </c>
      <c r="E57" s="210">
        <v>8.8666666666666671</v>
      </c>
    </row>
    <row r="58" spans="1:5" s="5" customFormat="1" x14ac:dyDescent="0.3">
      <c r="A58" s="40">
        <v>47</v>
      </c>
      <c r="B58" s="209" t="s">
        <v>556</v>
      </c>
      <c r="C58" s="213">
        <v>10.199999999999999</v>
      </c>
      <c r="D58" s="213">
        <v>7.5</v>
      </c>
      <c r="E58" s="210">
        <v>8.4</v>
      </c>
    </row>
    <row r="59" spans="1:5" s="5" customFormat="1" x14ac:dyDescent="0.3">
      <c r="A59" s="40">
        <v>48</v>
      </c>
      <c r="B59" s="209" t="s">
        <v>587</v>
      </c>
      <c r="C59" s="213">
        <v>9.9</v>
      </c>
      <c r="D59" s="213">
        <v>7.5</v>
      </c>
      <c r="E59" s="210">
        <v>8.2999999999999989</v>
      </c>
    </row>
    <row r="60" spans="1:5" s="5" customFormat="1" x14ac:dyDescent="0.3">
      <c r="A60" s="40">
        <v>49</v>
      </c>
      <c r="B60" s="209" t="s">
        <v>599</v>
      </c>
      <c r="C60" s="213">
        <v>10</v>
      </c>
      <c r="D60" s="213">
        <v>7.333333333333333</v>
      </c>
      <c r="E60" s="210">
        <v>8.2222222222222214</v>
      </c>
    </row>
    <row r="61" spans="1:5" s="5" customFormat="1" x14ac:dyDescent="0.3">
      <c r="A61" s="40">
        <v>50</v>
      </c>
      <c r="B61" s="209" t="s">
        <v>574</v>
      </c>
      <c r="C61" s="213">
        <v>11</v>
      </c>
      <c r="D61" s="213">
        <v>6.75</v>
      </c>
      <c r="E61" s="210">
        <v>8.1666666666666661</v>
      </c>
    </row>
    <row r="62" spans="1:5" s="5" customFormat="1" x14ac:dyDescent="0.3">
      <c r="A62" s="40">
        <v>51</v>
      </c>
      <c r="B62" s="209" t="s">
        <v>549</v>
      </c>
      <c r="C62" s="213">
        <v>9.3000000000000007</v>
      </c>
      <c r="D62" s="213">
        <v>7.25</v>
      </c>
      <c r="E62" s="210">
        <v>7.9333333333333336</v>
      </c>
    </row>
    <row r="63" spans="1:5" s="5" customFormat="1" x14ac:dyDescent="0.3">
      <c r="A63" s="40">
        <v>52</v>
      </c>
      <c r="B63" s="209" t="s">
        <v>593</v>
      </c>
      <c r="C63" s="213">
        <v>8.9</v>
      </c>
      <c r="D63" s="213">
        <v>6.25</v>
      </c>
      <c r="E63" s="210">
        <v>7.1333333333333329</v>
      </c>
    </row>
    <row r="64" spans="1:5" s="5" customFormat="1" x14ac:dyDescent="0.3">
      <c r="A64" s="40">
        <v>53</v>
      </c>
      <c r="B64" s="209" t="s">
        <v>583</v>
      </c>
      <c r="C64" s="213">
        <v>10.199999999999999</v>
      </c>
      <c r="D64" s="213">
        <v>4.666666666666667</v>
      </c>
      <c r="E64" s="210">
        <v>6.5111111111111102</v>
      </c>
    </row>
    <row r="65" spans="1:6" s="5" customFormat="1" x14ac:dyDescent="0.3">
      <c r="A65" s="40">
        <v>54</v>
      </c>
      <c r="B65" s="206" t="s">
        <v>602</v>
      </c>
      <c r="C65" s="213">
        <v>8.6999999999999993</v>
      </c>
      <c r="D65" s="213">
        <v>5.333333333333333</v>
      </c>
      <c r="E65" s="210">
        <v>6.4555555555555557</v>
      </c>
    </row>
    <row r="66" spans="1:6" s="5" customFormat="1" x14ac:dyDescent="0.3">
      <c r="A66" s="40">
        <v>55</v>
      </c>
      <c r="B66" s="209" t="s">
        <v>594</v>
      </c>
      <c r="C66" s="213">
        <v>5.7</v>
      </c>
      <c r="D66" s="213">
        <v>5.25</v>
      </c>
      <c r="E66" s="210">
        <v>5.3999999999999995</v>
      </c>
    </row>
    <row r="67" spans="1:6" s="5" customFormat="1" x14ac:dyDescent="0.3">
      <c r="A67" s="40">
        <v>56</v>
      </c>
      <c r="B67" s="209" t="s">
        <v>560</v>
      </c>
      <c r="C67" s="213">
        <v>5.0999999999999996</v>
      </c>
      <c r="D67" s="213">
        <v>3.0833333333333335</v>
      </c>
      <c r="E67" s="210">
        <v>3.7555555555555551</v>
      </c>
    </row>
    <row r="68" spans="1:6" s="5" customFormat="1" x14ac:dyDescent="0.3">
      <c r="A68" s="40">
        <v>57</v>
      </c>
      <c r="B68" s="209" t="s">
        <v>590</v>
      </c>
      <c r="C68" s="213">
        <v>10.1</v>
      </c>
      <c r="D68" s="213">
        <v>0</v>
      </c>
      <c r="E68" s="210">
        <v>3.3666666666666667</v>
      </c>
    </row>
    <row r="69" spans="1:6" s="5" customFormat="1" x14ac:dyDescent="0.3">
      <c r="A69" s="40">
        <v>58</v>
      </c>
      <c r="B69" s="209" t="s">
        <v>572</v>
      </c>
      <c r="C69" s="213">
        <v>7.7</v>
      </c>
      <c r="D69" s="213">
        <v>0</v>
      </c>
      <c r="E69" s="210">
        <v>2.5666666666666669</v>
      </c>
    </row>
    <row r="70" spans="1:6" s="5" customFormat="1" x14ac:dyDescent="0.3">
      <c r="A70" s="40">
        <v>59</v>
      </c>
      <c r="B70" s="20" t="s">
        <v>582</v>
      </c>
      <c r="C70" s="213">
        <v>5.2</v>
      </c>
      <c r="D70" s="213">
        <v>1.0833333333333333</v>
      </c>
      <c r="E70" s="210">
        <v>2.4555555555555557</v>
      </c>
    </row>
    <row r="71" spans="1:6" s="5" customFormat="1" ht="12.75" x14ac:dyDescent="0.2"/>
    <row r="72" spans="1:6" s="5" customFormat="1" ht="18" customHeight="1" x14ac:dyDescent="0.2"/>
    <row r="73" spans="1:6" s="5" customFormat="1" x14ac:dyDescent="0.3">
      <c r="B73" s="2"/>
      <c r="C73" s="281" t="s">
        <v>392</v>
      </c>
      <c r="D73" s="281"/>
      <c r="E73" s="281"/>
      <c r="F73" s="281"/>
    </row>
    <row r="74" spans="1:6" s="5" customFormat="1" x14ac:dyDescent="0.3">
      <c r="B74" s="2"/>
      <c r="C74" s="2"/>
      <c r="D74" s="2"/>
      <c r="E74" s="2"/>
      <c r="F74" s="2"/>
    </row>
    <row r="75" spans="1:6" s="5" customFormat="1" x14ac:dyDescent="0.3">
      <c r="B75" s="2"/>
      <c r="C75" s="2"/>
      <c r="D75" s="47" t="s">
        <v>393</v>
      </c>
      <c r="E75" s="47" t="s">
        <v>394</v>
      </c>
      <c r="F75" s="47" t="s">
        <v>395</v>
      </c>
    </row>
    <row r="76" spans="1:6" s="5" customFormat="1" x14ac:dyDescent="0.3">
      <c r="B76" s="2"/>
      <c r="C76" s="48" t="s">
        <v>396</v>
      </c>
      <c r="D76" s="49">
        <v>34</v>
      </c>
      <c r="E76" s="49">
        <v>25</v>
      </c>
      <c r="F76" s="49">
        <v>59</v>
      </c>
    </row>
    <row r="77" spans="1:6" s="5" customFormat="1" x14ac:dyDescent="0.3">
      <c r="B77" s="2"/>
      <c r="C77" s="10" t="s">
        <v>397</v>
      </c>
      <c r="D77" s="49">
        <v>34</v>
      </c>
      <c r="E77" s="49">
        <v>25</v>
      </c>
      <c r="F77" s="49">
        <v>59</v>
      </c>
    </row>
    <row r="78" spans="1:6" s="5" customFormat="1" x14ac:dyDescent="0.3">
      <c r="B78" s="2"/>
      <c r="C78" s="10" t="s">
        <v>398</v>
      </c>
      <c r="D78" s="49">
        <v>0</v>
      </c>
      <c r="E78" s="49">
        <v>0</v>
      </c>
      <c r="F78" s="49">
        <v>0</v>
      </c>
    </row>
    <row r="79" spans="1:6" s="5" customFormat="1" x14ac:dyDescent="0.3">
      <c r="B79" s="2"/>
      <c r="C79" s="10" t="s">
        <v>399</v>
      </c>
      <c r="D79" s="49">
        <v>18</v>
      </c>
      <c r="E79" s="49">
        <v>14</v>
      </c>
      <c r="F79" s="49">
        <v>32</v>
      </c>
    </row>
    <row r="80" spans="1:6" s="5" customFormat="1" x14ac:dyDescent="0.3">
      <c r="B80" s="2"/>
      <c r="C80" s="10" t="s">
        <v>400</v>
      </c>
      <c r="D80" s="49">
        <v>16</v>
      </c>
      <c r="E80" s="49">
        <v>11</v>
      </c>
      <c r="F80" s="49">
        <v>27</v>
      </c>
    </row>
    <row r="81" spans="2:6" s="5" customFormat="1" x14ac:dyDescent="0.3">
      <c r="B81" s="2"/>
      <c r="C81" s="10" t="s">
        <v>401</v>
      </c>
      <c r="D81" s="50">
        <f>+D79/D76</f>
        <v>0.52941176470588236</v>
      </c>
      <c r="E81" s="50">
        <f>+E79/E76</f>
        <v>0.56000000000000005</v>
      </c>
      <c r="F81" s="50">
        <f>+F79/F76</f>
        <v>0.5423728813559322</v>
      </c>
    </row>
    <row r="82" spans="2:6" s="5" customFormat="1" ht="15" x14ac:dyDescent="0.25">
      <c r="B82"/>
      <c r="C82"/>
      <c r="D82"/>
      <c r="E82"/>
      <c r="F82"/>
    </row>
    <row r="83" spans="2:6" s="5" customFormat="1" ht="20.25" customHeight="1" x14ac:dyDescent="0.3">
      <c r="B83" s="2"/>
      <c r="C83" s="2"/>
      <c r="D83" s="2"/>
      <c r="E83" s="2"/>
      <c r="F83" s="2"/>
    </row>
    <row r="84" spans="2:6" s="5" customFormat="1" x14ac:dyDescent="0.3">
      <c r="B84" s="2"/>
      <c r="C84" s="2"/>
      <c r="D84" s="2"/>
      <c r="E84" s="2"/>
      <c r="F84" s="2"/>
    </row>
    <row r="85" spans="2:6" s="5" customFormat="1" x14ac:dyDescent="0.3">
      <c r="B85" s="2"/>
      <c r="C85" s="2"/>
      <c r="D85" s="15" t="s">
        <v>925</v>
      </c>
      <c r="E85" s="241"/>
      <c r="F85" s="53"/>
    </row>
    <row r="86" spans="2:6" s="5" customFormat="1" x14ac:dyDescent="0.3">
      <c r="B86" s="2"/>
      <c r="C86" s="2"/>
      <c r="D86" s="2"/>
      <c r="E86" s="2"/>
      <c r="F86" s="2"/>
    </row>
    <row r="87" spans="2:6" s="5" customFormat="1" x14ac:dyDescent="0.3">
      <c r="B87" s="285" t="s">
        <v>921</v>
      </c>
      <c r="C87" s="285"/>
      <c r="D87" s="15"/>
      <c r="E87" s="15" t="s">
        <v>404</v>
      </c>
      <c r="F87" s="15"/>
    </row>
    <row r="88" spans="2:6" s="5" customFormat="1" x14ac:dyDescent="0.3">
      <c r="B88" s="15"/>
      <c r="C88" s="15"/>
      <c r="D88" s="15"/>
      <c r="E88" s="15"/>
      <c r="F88" s="15"/>
    </row>
    <row r="89" spans="2:6" s="5" customFormat="1" x14ac:dyDescent="0.3">
      <c r="B89" s="15"/>
      <c r="C89" s="15"/>
      <c r="D89" s="15"/>
      <c r="E89" s="15"/>
      <c r="F89" s="15"/>
    </row>
    <row r="90" spans="2:6" s="5" customFormat="1" ht="12.75" x14ac:dyDescent="0.2"/>
    <row r="91" spans="2:6" s="5" customFormat="1" ht="12.75" x14ac:dyDescent="0.2"/>
    <row r="92" spans="2:6" s="5" customFormat="1" x14ac:dyDescent="0.3">
      <c r="B92" s="285" t="s">
        <v>922</v>
      </c>
      <c r="C92" s="285"/>
      <c r="D92" s="15"/>
      <c r="E92" s="15" t="s">
        <v>8</v>
      </c>
      <c r="F92" s="15"/>
    </row>
    <row r="93" spans="2:6" s="5" customFormat="1" ht="19.5" customHeight="1" x14ac:dyDescent="0.2"/>
    <row r="94" spans="2:6" s="5" customFormat="1" ht="12.75" x14ac:dyDescent="0.2"/>
    <row r="95" spans="2:6" s="5" customFormat="1" ht="12.75" x14ac:dyDescent="0.2"/>
    <row r="96" spans="2:6" s="5" customFormat="1" ht="12.75" x14ac:dyDescent="0.2"/>
    <row r="97" spans="1:5" s="5" customFormat="1" ht="12.75" x14ac:dyDescent="0.2"/>
    <row r="98" spans="1:5" s="5" customFormat="1" ht="12.75" x14ac:dyDescent="0.2"/>
    <row r="99" spans="1:5" s="5" customFormat="1" ht="12.75" x14ac:dyDescent="0.2"/>
    <row r="100" spans="1:5" s="5" customFormat="1" ht="12.75" x14ac:dyDescent="0.2"/>
    <row r="101" spans="1:5" s="5" customFormat="1" ht="12.75" x14ac:dyDescent="0.2"/>
    <row r="102" spans="1:5" s="5" customFormat="1" ht="12.75" x14ac:dyDescent="0.2"/>
    <row r="103" spans="1:5" s="5" customFormat="1" ht="12.75" x14ac:dyDescent="0.2"/>
    <row r="104" spans="1:5" s="5" customFormat="1" ht="12.75" x14ac:dyDescent="0.2"/>
    <row r="105" spans="1:5" s="5" customFormat="1" ht="12.75" x14ac:dyDescent="0.2"/>
    <row r="106" spans="1:5" s="5" customFormat="1" ht="12.75" x14ac:dyDescent="0.2"/>
    <row r="107" spans="1:5" s="5" customFormat="1" ht="12.75" x14ac:dyDescent="0.2"/>
    <row r="108" spans="1:5" s="8" customFormat="1" ht="12.75" x14ac:dyDescent="0.2"/>
    <row r="109" spans="1:5" s="8" customFormat="1" x14ac:dyDescent="0.3">
      <c r="A109" s="15"/>
      <c r="B109" s="4"/>
      <c r="C109" s="4"/>
      <c r="D109" s="4"/>
      <c r="E109" s="4"/>
    </row>
    <row r="110" spans="1:5" s="8" customFormat="1" ht="15" x14ac:dyDescent="0.25">
      <c r="A110"/>
      <c r="B110"/>
      <c r="C110"/>
    </row>
    <row r="111" spans="1:5" x14ac:dyDescent="0.3">
      <c r="A111"/>
      <c r="B111"/>
      <c r="C111"/>
      <c r="D111" s="2"/>
      <c r="E111" s="2"/>
    </row>
    <row r="112" spans="1:5" x14ac:dyDescent="0.3">
      <c r="A112"/>
      <c r="B112"/>
      <c r="C112"/>
      <c r="D112" s="2"/>
      <c r="E112" s="2"/>
    </row>
    <row r="113" spans="1:5" x14ac:dyDescent="0.3">
      <c r="A113"/>
      <c r="B113"/>
      <c r="C113"/>
      <c r="D113" s="2"/>
      <c r="E113" s="2"/>
    </row>
    <row r="114" spans="1:5" x14ac:dyDescent="0.3">
      <c r="A114"/>
      <c r="B114"/>
      <c r="C114"/>
      <c r="D114" s="2"/>
      <c r="E114" s="2"/>
    </row>
    <row r="115" spans="1:5" x14ac:dyDescent="0.3">
      <c r="A115"/>
      <c r="B115"/>
      <c r="C115"/>
      <c r="D115" s="2"/>
      <c r="E115" s="2"/>
    </row>
    <row r="116" spans="1:5" x14ac:dyDescent="0.3">
      <c r="A116"/>
      <c r="B116"/>
      <c r="C116"/>
      <c r="D116" s="2"/>
      <c r="E116" s="2"/>
    </row>
    <row r="117" spans="1:5" x14ac:dyDescent="0.3">
      <c r="A117"/>
      <c r="B117"/>
      <c r="C117"/>
      <c r="D117" s="2"/>
      <c r="E117" s="2"/>
    </row>
    <row r="118" spans="1:5" x14ac:dyDescent="0.3">
      <c r="A118"/>
      <c r="B118"/>
      <c r="C118"/>
      <c r="D118" s="2"/>
      <c r="E118" s="2"/>
    </row>
    <row r="119" spans="1:5" x14ac:dyDescent="0.3">
      <c r="A119"/>
      <c r="B119"/>
      <c r="C119"/>
      <c r="D119" s="2"/>
      <c r="E119" s="2"/>
    </row>
    <row r="120" spans="1:5" x14ac:dyDescent="0.3">
      <c r="B120" s="275"/>
      <c r="C120" s="275"/>
      <c r="D120" s="2"/>
      <c r="E120" s="2"/>
    </row>
    <row r="121" spans="1:5" x14ac:dyDescent="0.3">
      <c r="B121" s="2"/>
      <c r="C121" s="2"/>
      <c r="D121" s="2"/>
      <c r="E121" s="2"/>
    </row>
    <row r="122" spans="1:5" x14ac:dyDescent="0.3">
      <c r="B122" s="275"/>
      <c r="C122" s="275"/>
      <c r="D122" s="2"/>
      <c r="E122" s="2"/>
    </row>
    <row r="123" spans="1:5" x14ac:dyDescent="0.3">
      <c r="B123" s="2"/>
      <c r="C123" s="2"/>
      <c r="D123" s="2"/>
      <c r="E123" s="2"/>
    </row>
    <row r="124" spans="1:5" x14ac:dyDescent="0.3">
      <c r="B124" s="2"/>
      <c r="C124" s="2"/>
      <c r="D124" s="2"/>
      <c r="E124" s="2"/>
    </row>
    <row r="125" spans="1:5" x14ac:dyDescent="0.3">
      <c r="B125" s="2"/>
      <c r="C125" s="2"/>
      <c r="D125" s="2"/>
      <c r="E125" s="2"/>
    </row>
    <row r="126" spans="1:5" x14ac:dyDescent="0.3">
      <c r="B126" s="275"/>
      <c r="C126" s="275"/>
      <c r="D126" s="2"/>
      <c r="E126" s="2"/>
    </row>
  </sheetData>
  <sortState ref="B12:E70">
    <sortCondition descending="1" ref="E12:E70"/>
  </sortState>
  <mergeCells count="17">
    <mergeCell ref="A10:A11"/>
    <mergeCell ref="B10:B11"/>
    <mergeCell ref="B9:E9"/>
    <mergeCell ref="C10:C11"/>
    <mergeCell ref="D10:D11"/>
    <mergeCell ref="E10:E11"/>
    <mergeCell ref="B126:C126"/>
    <mergeCell ref="C1:G1"/>
    <mergeCell ref="C2:G2"/>
    <mergeCell ref="B5:G5"/>
    <mergeCell ref="B6:G6"/>
    <mergeCell ref="B7:G8"/>
    <mergeCell ref="C73:F73"/>
    <mergeCell ref="B120:C120"/>
    <mergeCell ref="B122:C122"/>
    <mergeCell ref="B87:C87"/>
    <mergeCell ref="B92:C92"/>
  </mergeCells>
  <printOptions horizontalCentered="1"/>
  <pageMargins left="0.15748031496062992" right="0.15748031496062992" top="0.74803149606299213" bottom="0.74803149606299213" header="0.31496062992125984" footer="0.31496062992125984"/>
  <pageSetup paperSize="9" scale="90" orientation="portrait" r:id="rId1"/>
  <headerFooter>
    <oddFooter>&amp;LGSP MOH-CA / 9ème Année&amp;R&amp;P/&amp;N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H127"/>
  <sheetViews>
    <sheetView topLeftCell="A2" workbookViewId="0">
      <selection activeCell="B12" sqref="B12:D106"/>
    </sheetView>
  </sheetViews>
  <sheetFormatPr baseColWidth="10" defaultRowHeight="15" x14ac:dyDescent="0.25"/>
  <cols>
    <col min="1" max="1" width="6" customWidth="1"/>
    <col min="2" max="2" width="35" customWidth="1"/>
    <col min="4" max="4" width="12.7109375" customWidth="1"/>
    <col min="5" max="5" width="13.140625" customWidth="1"/>
  </cols>
  <sheetData>
    <row r="1" spans="1:8" ht="16.5" x14ac:dyDescent="0.3">
      <c r="A1" s="92" t="s">
        <v>1</v>
      </c>
      <c r="B1" s="94"/>
      <c r="C1" s="279" t="s">
        <v>108</v>
      </c>
      <c r="D1" s="279"/>
      <c r="E1" s="279"/>
      <c r="F1" s="279"/>
      <c r="G1" s="279"/>
      <c r="H1" s="94"/>
    </row>
    <row r="2" spans="1:8" ht="16.5" x14ac:dyDescent="0.3">
      <c r="A2" s="92" t="s">
        <v>2</v>
      </c>
      <c r="B2" s="94"/>
      <c r="C2" s="279" t="s">
        <v>6</v>
      </c>
      <c r="D2" s="279"/>
      <c r="E2" s="279"/>
      <c r="F2" s="279"/>
      <c r="G2" s="279"/>
      <c r="H2" s="94"/>
    </row>
    <row r="3" spans="1:8" ht="16.5" x14ac:dyDescent="0.3">
      <c r="A3" s="92" t="s">
        <v>3</v>
      </c>
      <c r="B3" s="94"/>
      <c r="C3" s="94"/>
      <c r="D3" s="94"/>
      <c r="E3" s="94"/>
      <c r="F3" s="94"/>
      <c r="G3" s="94"/>
      <c r="H3" s="94"/>
    </row>
    <row r="4" spans="1:8" ht="16.5" x14ac:dyDescent="0.3">
      <c r="A4" s="92" t="s">
        <v>4</v>
      </c>
      <c r="B4" s="94"/>
      <c r="C4" s="94"/>
      <c r="D4" s="94"/>
      <c r="E4" s="94"/>
      <c r="F4" s="94"/>
      <c r="G4" s="94"/>
      <c r="H4" s="94"/>
    </row>
    <row r="5" spans="1:8" ht="16.5" x14ac:dyDescent="0.3">
      <c r="A5" s="94"/>
      <c r="B5" s="279" t="s">
        <v>461</v>
      </c>
      <c r="C5" s="279"/>
      <c r="D5" s="279"/>
      <c r="E5" s="279"/>
      <c r="F5" s="279"/>
      <c r="G5" s="279"/>
      <c r="H5" s="94"/>
    </row>
    <row r="6" spans="1:8" ht="18" x14ac:dyDescent="0.3">
      <c r="A6" s="94"/>
      <c r="B6" s="279" t="s">
        <v>109</v>
      </c>
      <c r="C6" s="279"/>
      <c r="D6" s="279"/>
      <c r="E6" s="279"/>
      <c r="F6" s="279"/>
      <c r="G6" s="279"/>
      <c r="H6" s="94"/>
    </row>
    <row r="7" spans="1:8" ht="16.5" x14ac:dyDescent="0.3">
      <c r="A7" s="94"/>
      <c r="B7" s="280" t="s">
        <v>449</v>
      </c>
      <c r="C7" s="280"/>
      <c r="D7" s="280"/>
      <c r="E7" s="280"/>
      <c r="F7" s="280"/>
      <c r="G7" s="280"/>
      <c r="H7" s="70"/>
    </row>
    <row r="8" spans="1:8" ht="16.5" x14ac:dyDescent="0.3">
      <c r="A8" s="94"/>
      <c r="B8" s="280"/>
      <c r="C8" s="280"/>
      <c r="D8" s="280"/>
      <c r="E8" s="280"/>
      <c r="F8" s="280"/>
      <c r="G8" s="280"/>
      <c r="H8" s="70"/>
    </row>
    <row r="9" spans="1:8" ht="16.5" x14ac:dyDescent="0.3">
      <c r="A9" s="94"/>
      <c r="B9" s="300"/>
      <c r="C9" s="300"/>
      <c r="D9" s="300"/>
      <c r="E9" s="300"/>
      <c r="F9" s="94"/>
      <c r="G9" s="94"/>
      <c r="H9" s="94"/>
    </row>
    <row r="10" spans="1:8" x14ac:dyDescent="0.25">
      <c r="A10" s="294" t="s">
        <v>106</v>
      </c>
      <c r="B10" s="296" t="s">
        <v>0</v>
      </c>
      <c r="C10" s="286" t="s">
        <v>208</v>
      </c>
      <c r="D10" s="286" t="s">
        <v>209</v>
      </c>
      <c r="E10" s="286" t="s">
        <v>445</v>
      </c>
      <c r="F10" s="95"/>
      <c r="G10" s="95"/>
      <c r="H10" s="95"/>
    </row>
    <row r="11" spans="1:8" x14ac:dyDescent="0.25">
      <c r="A11" s="295"/>
      <c r="B11" s="297"/>
      <c r="C11" s="287"/>
      <c r="D11" s="287"/>
      <c r="E11" s="287"/>
      <c r="F11" s="95"/>
      <c r="G11" s="95"/>
      <c r="H11" s="95"/>
    </row>
    <row r="12" spans="1:8" ht="18" x14ac:dyDescent="0.3">
      <c r="A12" s="115" t="s">
        <v>169</v>
      </c>
      <c r="B12" s="22"/>
      <c r="C12" s="41"/>
      <c r="D12" s="41"/>
      <c r="E12" s="37">
        <f t="shared" ref="E12:E43" si="0">+(D12*2+C12)/3</f>
        <v>0</v>
      </c>
      <c r="F12" s="98"/>
      <c r="G12" s="98"/>
      <c r="H12" s="98"/>
    </row>
    <row r="13" spans="1:8" ht="18" x14ac:dyDescent="0.3">
      <c r="A13" s="115" t="s">
        <v>158</v>
      </c>
      <c r="B13" s="114"/>
      <c r="C13" s="41"/>
      <c r="D13" s="41"/>
      <c r="E13" s="37">
        <f t="shared" si="0"/>
        <v>0</v>
      </c>
      <c r="F13" s="98"/>
      <c r="G13" s="98"/>
      <c r="H13" s="98"/>
    </row>
    <row r="14" spans="1:8" ht="18" x14ac:dyDescent="0.3">
      <c r="A14" s="115" t="s">
        <v>130</v>
      </c>
      <c r="B14" s="114"/>
      <c r="C14" s="41"/>
      <c r="D14" s="41"/>
      <c r="E14" s="37">
        <f t="shared" si="0"/>
        <v>0</v>
      </c>
      <c r="F14" s="98"/>
      <c r="G14" s="98"/>
      <c r="H14" s="98"/>
    </row>
    <row r="15" spans="1:8" ht="18" x14ac:dyDescent="0.3">
      <c r="A15" s="115" t="s">
        <v>194</v>
      </c>
      <c r="B15" s="114"/>
      <c r="C15" s="41"/>
      <c r="D15" s="41"/>
      <c r="E15" s="37">
        <f t="shared" si="0"/>
        <v>0</v>
      </c>
      <c r="F15" s="98"/>
      <c r="G15" s="98"/>
      <c r="H15" s="98"/>
    </row>
    <row r="16" spans="1:8" ht="18" x14ac:dyDescent="0.3">
      <c r="A16" s="115" t="s">
        <v>157</v>
      </c>
      <c r="B16" s="114"/>
      <c r="C16" s="41"/>
      <c r="D16" s="41"/>
      <c r="E16" s="37">
        <f t="shared" si="0"/>
        <v>0</v>
      </c>
      <c r="F16" s="98"/>
      <c r="G16" s="98"/>
      <c r="H16" s="98"/>
    </row>
    <row r="17" spans="1:8" ht="18" x14ac:dyDescent="0.3">
      <c r="A17" s="115" t="s">
        <v>154</v>
      </c>
      <c r="B17" s="114"/>
      <c r="C17" s="41"/>
      <c r="D17" s="41"/>
      <c r="E17" s="37">
        <f t="shared" si="0"/>
        <v>0</v>
      </c>
      <c r="F17" s="98"/>
      <c r="G17" s="98"/>
      <c r="H17" s="98"/>
    </row>
    <row r="18" spans="1:8" ht="18" x14ac:dyDescent="0.3">
      <c r="A18" s="115" t="s">
        <v>191</v>
      </c>
      <c r="B18" s="114"/>
      <c r="C18" s="41"/>
      <c r="D18" s="41"/>
      <c r="E18" s="37">
        <f t="shared" si="0"/>
        <v>0</v>
      </c>
      <c r="F18" s="98"/>
      <c r="G18" s="98"/>
      <c r="H18" s="98"/>
    </row>
    <row r="19" spans="1:8" ht="18" x14ac:dyDescent="0.3">
      <c r="A19" s="115" t="s">
        <v>201</v>
      </c>
      <c r="B19" s="114"/>
      <c r="C19" s="41"/>
      <c r="D19" s="41"/>
      <c r="E19" s="37">
        <f t="shared" si="0"/>
        <v>0</v>
      </c>
      <c r="F19" s="98"/>
      <c r="G19" s="98"/>
      <c r="H19" s="98"/>
    </row>
    <row r="20" spans="1:8" ht="18" x14ac:dyDescent="0.3">
      <c r="A20" s="115" t="s">
        <v>192</v>
      </c>
      <c r="B20" s="114"/>
      <c r="C20" s="41"/>
      <c r="D20" s="41"/>
      <c r="E20" s="37">
        <f t="shared" si="0"/>
        <v>0</v>
      </c>
      <c r="F20" s="98"/>
      <c r="G20" s="98"/>
      <c r="H20" s="98"/>
    </row>
    <row r="21" spans="1:8" ht="18" x14ac:dyDescent="0.3">
      <c r="A21" s="115" t="s">
        <v>164</v>
      </c>
      <c r="B21" s="114"/>
      <c r="C21" s="41"/>
      <c r="D21" s="41"/>
      <c r="E21" s="37">
        <f t="shared" si="0"/>
        <v>0</v>
      </c>
      <c r="F21" s="98"/>
      <c r="G21" s="98"/>
      <c r="H21" s="98"/>
    </row>
    <row r="22" spans="1:8" ht="18" x14ac:dyDescent="0.3">
      <c r="A22" s="115" t="s">
        <v>181</v>
      </c>
      <c r="B22" s="114"/>
      <c r="C22" s="41"/>
      <c r="D22" s="41"/>
      <c r="E22" s="37">
        <f t="shared" si="0"/>
        <v>0</v>
      </c>
      <c r="F22" s="98"/>
      <c r="G22" s="98"/>
      <c r="H22" s="98"/>
    </row>
    <row r="23" spans="1:8" ht="18" x14ac:dyDescent="0.3">
      <c r="A23" s="115" t="s">
        <v>165</v>
      </c>
      <c r="B23" s="114"/>
      <c r="C23" s="41"/>
      <c r="D23" s="41"/>
      <c r="E23" s="37">
        <f t="shared" si="0"/>
        <v>0</v>
      </c>
      <c r="F23" s="98"/>
      <c r="G23" s="98"/>
      <c r="H23" s="98"/>
    </row>
    <row r="24" spans="1:8" ht="18" x14ac:dyDescent="0.3">
      <c r="A24" s="115" t="s">
        <v>183</v>
      </c>
      <c r="B24" s="114"/>
      <c r="C24" s="41"/>
      <c r="D24" s="41"/>
      <c r="E24" s="37">
        <f t="shared" si="0"/>
        <v>0</v>
      </c>
      <c r="F24" s="98"/>
      <c r="G24" s="98"/>
      <c r="H24" s="98"/>
    </row>
    <row r="25" spans="1:8" ht="18" x14ac:dyDescent="0.3">
      <c r="A25" s="115" t="s">
        <v>151</v>
      </c>
      <c r="B25" s="114"/>
      <c r="C25" s="41"/>
      <c r="D25" s="41"/>
      <c r="E25" s="37">
        <f t="shared" si="0"/>
        <v>0</v>
      </c>
      <c r="F25" s="98"/>
      <c r="G25" s="98"/>
      <c r="H25" s="98"/>
    </row>
    <row r="26" spans="1:8" ht="18" x14ac:dyDescent="0.3">
      <c r="A26" s="115" t="s">
        <v>189</v>
      </c>
      <c r="B26" s="114"/>
      <c r="C26" s="41"/>
      <c r="D26" s="41"/>
      <c r="E26" s="37">
        <f t="shared" si="0"/>
        <v>0</v>
      </c>
      <c r="F26" s="98"/>
      <c r="G26" s="98"/>
      <c r="H26" s="98"/>
    </row>
    <row r="27" spans="1:8" ht="16.5" x14ac:dyDescent="0.3">
      <c r="A27" s="107" t="s">
        <v>110</v>
      </c>
      <c r="B27" s="114"/>
      <c r="C27" s="41"/>
      <c r="D27" s="41"/>
      <c r="E27" s="37">
        <f t="shared" si="0"/>
        <v>0</v>
      </c>
      <c r="F27" s="98"/>
      <c r="G27" s="189"/>
      <c r="H27" s="98"/>
    </row>
    <row r="28" spans="1:8" ht="18" x14ac:dyDescent="0.3">
      <c r="A28" s="115" t="s">
        <v>119</v>
      </c>
      <c r="B28" s="114"/>
      <c r="C28" s="41"/>
      <c r="D28" s="41"/>
      <c r="E28" s="37">
        <f t="shared" si="0"/>
        <v>0</v>
      </c>
      <c r="F28" s="98"/>
      <c r="G28" s="189"/>
      <c r="H28" s="98"/>
    </row>
    <row r="29" spans="1:8" ht="18" x14ac:dyDescent="0.3">
      <c r="A29" s="115" t="s">
        <v>149</v>
      </c>
      <c r="B29" s="22"/>
      <c r="C29" s="41"/>
      <c r="D29" s="41"/>
      <c r="E29" s="37">
        <f t="shared" si="0"/>
        <v>0</v>
      </c>
      <c r="F29" s="98"/>
      <c r="G29" s="98"/>
      <c r="H29" s="98"/>
    </row>
    <row r="30" spans="1:8" ht="18" x14ac:dyDescent="0.3">
      <c r="A30" s="115" t="s">
        <v>113</v>
      </c>
      <c r="B30" s="114"/>
      <c r="C30" s="41"/>
      <c r="D30" s="41"/>
      <c r="E30" s="37">
        <f t="shared" si="0"/>
        <v>0</v>
      </c>
      <c r="F30" s="98"/>
      <c r="G30" s="98"/>
      <c r="H30" s="98"/>
    </row>
    <row r="31" spans="1:8" ht="18" x14ac:dyDescent="0.3">
      <c r="A31" s="115" t="s">
        <v>162</v>
      </c>
      <c r="B31" s="114"/>
      <c r="C31" s="41"/>
      <c r="D31" s="41"/>
      <c r="E31" s="37">
        <f t="shared" si="0"/>
        <v>0</v>
      </c>
      <c r="F31" s="98"/>
      <c r="G31" s="98"/>
      <c r="H31" s="98"/>
    </row>
    <row r="32" spans="1:8" ht="18" x14ac:dyDescent="0.3">
      <c r="A32" s="115" t="s">
        <v>153</v>
      </c>
      <c r="B32" s="114"/>
      <c r="C32" s="41"/>
      <c r="D32" s="41"/>
      <c r="E32" s="37">
        <f t="shared" si="0"/>
        <v>0</v>
      </c>
      <c r="F32" s="98"/>
      <c r="G32" s="98"/>
      <c r="H32" s="98"/>
    </row>
    <row r="33" spans="1:8" ht="18" x14ac:dyDescent="0.3">
      <c r="A33" s="115" t="s">
        <v>118</v>
      </c>
      <c r="B33" s="114"/>
      <c r="C33" s="41"/>
      <c r="D33" s="41"/>
      <c r="E33" s="37">
        <f t="shared" si="0"/>
        <v>0</v>
      </c>
      <c r="F33" s="98"/>
      <c r="G33" s="98"/>
      <c r="H33" s="98"/>
    </row>
    <row r="34" spans="1:8" ht="18" x14ac:dyDescent="0.3">
      <c r="A34" s="115" t="s">
        <v>138</v>
      </c>
      <c r="B34" s="114"/>
      <c r="C34" s="41"/>
      <c r="D34" s="41"/>
      <c r="E34" s="37">
        <f t="shared" si="0"/>
        <v>0</v>
      </c>
      <c r="F34" s="98"/>
      <c r="G34" s="98"/>
      <c r="H34" s="98"/>
    </row>
    <row r="35" spans="1:8" ht="18" x14ac:dyDescent="0.3">
      <c r="A35" s="115" t="s">
        <v>145</v>
      </c>
      <c r="B35" s="114"/>
      <c r="C35" s="41"/>
      <c r="D35" s="41"/>
      <c r="E35" s="37">
        <f t="shared" si="0"/>
        <v>0</v>
      </c>
      <c r="F35" s="98"/>
      <c r="G35" s="98"/>
      <c r="H35" s="98"/>
    </row>
    <row r="36" spans="1:8" ht="18" x14ac:dyDescent="0.3">
      <c r="A36" s="115" t="s">
        <v>146</v>
      </c>
      <c r="B36" s="114"/>
      <c r="C36" s="41"/>
      <c r="D36" s="41"/>
      <c r="E36" s="37">
        <f t="shared" si="0"/>
        <v>0</v>
      </c>
      <c r="F36" s="98"/>
      <c r="G36" s="98"/>
      <c r="H36" s="98"/>
    </row>
    <row r="37" spans="1:8" ht="18" x14ac:dyDescent="0.3">
      <c r="A37" s="115" t="s">
        <v>136</v>
      </c>
      <c r="B37" s="114"/>
      <c r="C37" s="41"/>
      <c r="D37" s="41"/>
      <c r="E37" s="37">
        <f t="shared" si="0"/>
        <v>0</v>
      </c>
      <c r="F37" s="98"/>
      <c r="G37" s="98"/>
      <c r="H37" s="98"/>
    </row>
    <row r="38" spans="1:8" ht="18" x14ac:dyDescent="0.3">
      <c r="A38" s="115" t="s">
        <v>139</v>
      </c>
      <c r="B38" s="114"/>
      <c r="C38" s="41"/>
      <c r="D38" s="41"/>
      <c r="E38" s="37">
        <f t="shared" si="0"/>
        <v>0</v>
      </c>
      <c r="F38" s="98"/>
      <c r="G38" s="98"/>
      <c r="H38" s="98"/>
    </row>
    <row r="39" spans="1:8" ht="18" x14ac:dyDescent="0.3">
      <c r="A39" s="115" t="s">
        <v>198</v>
      </c>
      <c r="B39" s="114"/>
      <c r="C39" s="41"/>
      <c r="D39" s="41"/>
      <c r="E39" s="37">
        <f t="shared" si="0"/>
        <v>0</v>
      </c>
      <c r="F39" s="98"/>
      <c r="G39" s="98"/>
      <c r="H39" s="98"/>
    </row>
    <row r="40" spans="1:8" ht="18" x14ac:dyDescent="0.3">
      <c r="A40" s="115" t="s">
        <v>137</v>
      </c>
      <c r="B40" s="114"/>
      <c r="C40" s="41"/>
      <c r="D40" s="41"/>
      <c r="E40" s="37">
        <f t="shared" si="0"/>
        <v>0</v>
      </c>
      <c r="F40" s="98"/>
      <c r="G40" s="98"/>
      <c r="H40" s="98"/>
    </row>
    <row r="41" spans="1:8" ht="18" x14ac:dyDescent="0.3">
      <c r="A41" s="115" t="s">
        <v>196</v>
      </c>
      <c r="B41" s="114"/>
      <c r="C41" s="41"/>
      <c r="D41" s="41"/>
      <c r="E41" s="37">
        <f t="shared" si="0"/>
        <v>0</v>
      </c>
      <c r="F41" s="98"/>
      <c r="G41" s="98"/>
      <c r="H41" s="98"/>
    </row>
    <row r="42" spans="1:8" ht="18" x14ac:dyDescent="0.3">
      <c r="A42" s="115" t="s">
        <v>141</v>
      </c>
      <c r="B42" s="22"/>
      <c r="C42" s="41"/>
      <c r="D42" s="41"/>
      <c r="E42" s="37">
        <f t="shared" si="0"/>
        <v>0</v>
      </c>
      <c r="F42" s="98"/>
      <c r="G42" s="98"/>
      <c r="H42" s="98"/>
    </row>
    <row r="43" spans="1:8" ht="18" x14ac:dyDescent="0.3">
      <c r="A43" s="115" t="s">
        <v>177</v>
      </c>
      <c r="B43" s="114"/>
      <c r="C43" s="41"/>
      <c r="D43" s="41"/>
      <c r="E43" s="37">
        <f t="shared" si="0"/>
        <v>0</v>
      </c>
      <c r="F43" s="98"/>
      <c r="G43" s="98"/>
      <c r="H43" s="98"/>
    </row>
    <row r="44" spans="1:8" ht="18" x14ac:dyDescent="0.3">
      <c r="A44" s="115" t="s">
        <v>132</v>
      </c>
      <c r="B44" s="22"/>
      <c r="C44" s="41"/>
      <c r="D44" s="41"/>
      <c r="E44" s="37">
        <f t="shared" ref="E44:E75" si="1">+(D44*2+C44)/3</f>
        <v>0</v>
      </c>
      <c r="F44" s="98"/>
      <c r="G44" s="98"/>
      <c r="H44" s="98"/>
    </row>
    <row r="45" spans="1:8" ht="18" x14ac:dyDescent="0.3">
      <c r="A45" s="115" t="s">
        <v>142</v>
      </c>
      <c r="B45" s="114"/>
      <c r="C45" s="41"/>
      <c r="D45" s="41"/>
      <c r="E45" s="37">
        <f t="shared" si="1"/>
        <v>0</v>
      </c>
      <c r="F45" s="98"/>
      <c r="G45" s="98"/>
      <c r="H45" s="98"/>
    </row>
    <row r="46" spans="1:8" ht="18" x14ac:dyDescent="0.3">
      <c r="A46" s="115" t="s">
        <v>125</v>
      </c>
      <c r="B46" s="22"/>
      <c r="C46" s="41"/>
      <c r="D46" s="41"/>
      <c r="E46" s="37">
        <f t="shared" si="1"/>
        <v>0</v>
      </c>
      <c r="F46" s="98"/>
      <c r="G46" s="98"/>
      <c r="H46" s="98"/>
    </row>
    <row r="47" spans="1:8" ht="18" x14ac:dyDescent="0.3">
      <c r="A47" s="115" t="s">
        <v>144</v>
      </c>
      <c r="B47" s="114"/>
      <c r="C47" s="41"/>
      <c r="D47" s="41"/>
      <c r="E47" s="37">
        <f t="shared" si="1"/>
        <v>0</v>
      </c>
      <c r="F47" s="98"/>
      <c r="G47" s="98"/>
      <c r="H47" s="98"/>
    </row>
    <row r="48" spans="1:8" ht="18" x14ac:dyDescent="0.3">
      <c r="A48" s="115" t="s">
        <v>178</v>
      </c>
      <c r="B48" s="114"/>
      <c r="C48" s="41"/>
      <c r="D48" s="41"/>
      <c r="E48" s="37">
        <f t="shared" si="1"/>
        <v>0</v>
      </c>
      <c r="F48" s="98"/>
      <c r="G48" s="98"/>
      <c r="H48" s="98"/>
    </row>
    <row r="49" spans="1:8" ht="18" x14ac:dyDescent="0.3">
      <c r="A49" s="115" t="s">
        <v>193</v>
      </c>
      <c r="B49" s="114"/>
      <c r="C49" s="41"/>
      <c r="D49" s="41"/>
      <c r="E49" s="37">
        <f t="shared" si="1"/>
        <v>0</v>
      </c>
      <c r="F49" s="98"/>
      <c r="G49" s="98"/>
      <c r="H49" s="98"/>
    </row>
    <row r="50" spans="1:8" ht="18" x14ac:dyDescent="0.3">
      <c r="A50" s="115" t="s">
        <v>122</v>
      </c>
      <c r="B50" s="114"/>
      <c r="C50" s="41"/>
      <c r="D50" s="41"/>
      <c r="E50" s="37">
        <f t="shared" si="1"/>
        <v>0</v>
      </c>
      <c r="F50" s="98"/>
      <c r="G50" s="98"/>
      <c r="H50" s="98"/>
    </row>
    <row r="51" spans="1:8" ht="18" x14ac:dyDescent="0.3">
      <c r="A51" s="115" t="s">
        <v>152</v>
      </c>
      <c r="B51" s="22"/>
      <c r="C51" s="41"/>
      <c r="D51" s="41"/>
      <c r="E51" s="37">
        <f t="shared" si="1"/>
        <v>0</v>
      </c>
      <c r="F51" s="98"/>
      <c r="G51" s="98"/>
      <c r="H51" s="98"/>
    </row>
    <row r="52" spans="1:8" ht="18" x14ac:dyDescent="0.3">
      <c r="A52" s="115" t="s">
        <v>206</v>
      </c>
      <c r="B52" s="114"/>
      <c r="C52" s="41"/>
      <c r="D52" s="41"/>
      <c r="E52" s="37">
        <f t="shared" si="1"/>
        <v>0</v>
      </c>
      <c r="F52" s="98"/>
      <c r="G52" s="98"/>
      <c r="H52" s="98"/>
    </row>
    <row r="53" spans="1:8" ht="18" x14ac:dyDescent="0.3">
      <c r="A53" s="115" t="s">
        <v>160</v>
      </c>
      <c r="B53" s="114"/>
      <c r="C53" s="41"/>
      <c r="D53" s="41"/>
      <c r="E53" s="37">
        <f t="shared" si="1"/>
        <v>0</v>
      </c>
      <c r="F53" s="98"/>
      <c r="G53" s="98"/>
      <c r="H53" s="98"/>
    </row>
    <row r="54" spans="1:8" ht="18" x14ac:dyDescent="0.3">
      <c r="A54" s="115" t="s">
        <v>155</v>
      </c>
      <c r="B54" s="114"/>
      <c r="C54" s="41"/>
      <c r="D54" s="41"/>
      <c r="E54" s="37">
        <f t="shared" si="1"/>
        <v>0</v>
      </c>
      <c r="F54" s="98"/>
      <c r="G54" s="98"/>
      <c r="H54" s="98"/>
    </row>
    <row r="55" spans="1:8" ht="18" x14ac:dyDescent="0.3">
      <c r="A55" s="115" t="s">
        <v>116</v>
      </c>
      <c r="B55" s="114"/>
      <c r="C55" s="41"/>
      <c r="D55" s="41"/>
      <c r="E55" s="37">
        <f t="shared" si="1"/>
        <v>0</v>
      </c>
      <c r="F55" s="98"/>
      <c r="G55" s="98"/>
      <c r="H55" s="98"/>
    </row>
    <row r="56" spans="1:8" ht="18" x14ac:dyDescent="0.3">
      <c r="A56" s="115" t="s">
        <v>199</v>
      </c>
      <c r="B56" s="114"/>
      <c r="C56" s="41"/>
      <c r="D56" s="41"/>
      <c r="E56" s="37">
        <f t="shared" si="1"/>
        <v>0</v>
      </c>
      <c r="F56" s="98"/>
      <c r="G56" s="98"/>
      <c r="H56" s="98"/>
    </row>
    <row r="57" spans="1:8" ht="18" x14ac:dyDescent="0.3">
      <c r="A57" s="115" t="s">
        <v>176</v>
      </c>
      <c r="B57" s="114"/>
      <c r="C57" s="41"/>
      <c r="D57" s="41"/>
      <c r="E57" s="37">
        <f t="shared" si="1"/>
        <v>0</v>
      </c>
      <c r="F57" s="98"/>
      <c r="G57" s="98"/>
      <c r="H57" s="98"/>
    </row>
    <row r="58" spans="1:8" ht="18" x14ac:dyDescent="0.3">
      <c r="A58" s="115" t="s">
        <v>200</v>
      </c>
      <c r="B58" s="114"/>
      <c r="C58" s="41"/>
      <c r="D58" s="41"/>
      <c r="E58" s="37">
        <f t="shared" si="1"/>
        <v>0</v>
      </c>
      <c r="F58" s="98"/>
      <c r="G58" s="98"/>
      <c r="H58" s="98"/>
    </row>
    <row r="59" spans="1:8" ht="18" x14ac:dyDescent="0.3">
      <c r="A59" s="115" t="s">
        <v>150</v>
      </c>
      <c r="B59" s="114"/>
      <c r="C59" s="41"/>
      <c r="D59" s="41"/>
      <c r="E59" s="37">
        <f t="shared" si="1"/>
        <v>0</v>
      </c>
      <c r="F59" s="98"/>
      <c r="G59" s="98"/>
      <c r="H59" s="98"/>
    </row>
    <row r="60" spans="1:8" ht="18" x14ac:dyDescent="0.3">
      <c r="A60" s="115" t="s">
        <v>124</v>
      </c>
      <c r="B60" s="114"/>
      <c r="C60" s="41"/>
      <c r="D60" s="41"/>
      <c r="E60" s="37">
        <f t="shared" si="1"/>
        <v>0</v>
      </c>
      <c r="F60" s="98"/>
      <c r="G60" s="98"/>
      <c r="H60" s="98"/>
    </row>
    <row r="61" spans="1:8" ht="18" x14ac:dyDescent="0.3">
      <c r="A61" s="115" t="s">
        <v>121</v>
      </c>
      <c r="B61" s="114"/>
      <c r="C61" s="41"/>
      <c r="D61" s="41"/>
      <c r="E61" s="37">
        <f t="shared" si="1"/>
        <v>0</v>
      </c>
      <c r="F61" s="98"/>
      <c r="G61" s="98"/>
      <c r="H61" s="98"/>
    </row>
    <row r="62" spans="1:8" ht="18" x14ac:dyDescent="0.3">
      <c r="A62" s="115" t="s">
        <v>143</v>
      </c>
      <c r="B62" s="21"/>
      <c r="C62" s="42"/>
      <c r="D62" s="42"/>
      <c r="E62" s="38">
        <f t="shared" si="1"/>
        <v>0</v>
      </c>
      <c r="F62" s="98"/>
      <c r="G62" s="98"/>
      <c r="H62" s="98"/>
    </row>
    <row r="63" spans="1:8" ht="18" x14ac:dyDescent="0.3">
      <c r="A63" s="115" t="s">
        <v>128</v>
      </c>
      <c r="B63" s="114"/>
      <c r="C63" s="41"/>
      <c r="D63" s="41"/>
      <c r="E63" s="37">
        <f t="shared" si="1"/>
        <v>0</v>
      </c>
      <c r="F63" s="98"/>
      <c r="G63" s="98"/>
      <c r="H63" s="98"/>
    </row>
    <row r="64" spans="1:8" ht="18" x14ac:dyDescent="0.3">
      <c r="A64" s="115" t="s">
        <v>135</v>
      </c>
      <c r="B64" s="114"/>
      <c r="C64" s="41"/>
      <c r="D64" s="41"/>
      <c r="E64" s="37">
        <f t="shared" si="1"/>
        <v>0</v>
      </c>
      <c r="F64" s="98"/>
      <c r="G64" s="98"/>
      <c r="H64" s="98"/>
    </row>
    <row r="65" spans="1:8" ht="18" x14ac:dyDescent="0.3">
      <c r="A65" s="115" t="s">
        <v>126</v>
      </c>
      <c r="B65" s="22"/>
      <c r="C65" s="41"/>
      <c r="D65" s="41"/>
      <c r="E65" s="37">
        <f t="shared" si="1"/>
        <v>0</v>
      </c>
      <c r="F65" s="98"/>
      <c r="G65" s="98"/>
      <c r="H65" s="98"/>
    </row>
    <row r="66" spans="1:8" ht="18" x14ac:dyDescent="0.3">
      <c r="A66" s="115" t="s">
        <v>166</v>
      </c>
      <c r="B66" s="114"/>
      <c r="C66" s="41"/>
      <c r="D66" s="41"/>
      <c r="E66" s="37">
        <f t="shared" si="1"/>
        <v>0</v>
      </c>
      <c r="F66" s="98"/>
      <c r="G66" s="98"/>
      <c r="H66" s="98"/>
    </row>
    <row r="67" spans="1:8" ht="18" x14ac:dyDescent="0.3">
      <c r="A67" s="115" t="s">
        <v>120</v>
      </c>
      <c r="B67" s="114"/>
      <c r="C67" s="41"/>
      <c r="D67" s="41"/>
      <c r="E67" s="37">
        <f t="shared" si="1"/>
        <v>0</v>
      </c>
      <c r="F67" s="98"/>
      <c r="G67" s="98"/>
      <c r="H67" s="98"/>
    </row>
    <row r="68" spans="1:8" ht="18" x14ac:dyDescent="0.3">
      <c r="A68" s="115" t="s">
        <v>171</v>
      </c>
      <c r="B68" s="114"/>
      <c r="C68" s="41"/>
      <c r="D68" s="41"/>
      <c r="E68" s="37">
        <f t="shared" si="1"/>
        <v>0</v>
      </c>
      <c r="F68" s="98"/>
      <c r="G68" s="98"/>
      <c r="H68" s="98"/>
    </row>
    <row r="69" spans="1:8" ht="18" x14ac:dyDescent="0.3">
      <c r="A69" s="115" t="s">
        <v>159</v>
      </c>
      <c r="B69" s="114"/>
      <c r="C69" s="41"/>
      <c r="D69" s="41"/>
      <c r="E69" s="37">
        <f t="shared" si="1"/>
        <v>0</v>
      </c>
      <c r="F69" s="98"/>
      <c r="G69" s="98"/>
      <c r="H69" s="98"/>
    </row>
    <row r="70" spans="1:8" ht="18" x14ac:dyDescent="0.3">
      <c r="A70" s="115" t="s">
        <v>127</v>
      </c>
      <c r="B70" s="22"/>
      <c r="C70" s="41"/>
      <c r="D70" s="41"/>
      <c r="E70" s="37">
        <f t="shared" si="1"/>
        <v>0</v>
      </c>
      <c r="F70" s="98"/>
      <c r="G70" s="98"/>
      <c r="H70" s="98"/>
    </row>
    <row r="71" spans="1:8" ht="18" x14ac:dyDescent="0.3">
      <c r="A71" s="115" t="s">
        <v>148</v>
      </c>
      <c r="B71" s="114"/>
      <c r="C71" s="41"/>
      <c r="D71" s="41"/>
      <c r="E71" s="37">
        <f t="shared" si="1"/>
        <v>0</v>
      </c>
      <c r="F71" s="98"/>
      <c r="G71" s="98"/>
      <c r="H71" s="98"/>
    </row>
    <row r="72" spans="1:8" ht="18" x14ac:dyDescent="0.3">
      <c r="A72" s="115" t="s">
        <v>140</v>
      </c>
      <c r="B72" s="114"/>
      <c r="C72" s="41"/>
      <c r="D72" s="41"/>
      <c r="E72" s="37">
        <f t="shared" si="1"/>
        <v>0</v>
      </c>
      <c r="F72" s="98"/>
      <c r="G72" s="98"/>
      <c r="H72" s="98"/>
    </row>
    <row r="73" spans="1:8" ht="18" x14ac:dyDescent="0.3">
      <c r="A73" s="115" t="s">
        <v>174</v>
      </c>
      <c r="B73" s="114"/>
      <c r="C73" s="41"/>
      <c r="D73" s="41"/>
      <c r="E73" s="37">
        <f t="shared" si="1"/>
        <v>0</v>
      </c>
      <c r="F73" s="98"/>
      <c r="G73" s="98"/>
      <c r="H73" s="98"/>
    </row>
    <row r="74" spans="1:8" ht="18" x14ac:dyDescent="0.3">
      <c r="A74" s="115" t="s">
        <v>190</v>
      </c>
      <c r="B74" s="114"/>
      <c r="C74" s="41"/>
      <c r="D74" s="41"/>
      <c r="E74" s="37">
        <f t="shared" si="1"/>
        <v>0</v>
      </c>
      <c r="F74" s="98"/>
      <c r="G74" s="98"/>
      <c r="H74" s="98"/>
    </row>
    <row r="75" spans="1:8" ht="18" x14ac:dyDescent="0.3">
      <c r="A75" s="115" t="s">
        <v>179</v>
      </c>
      <c r="B75" s="114"/>
      <c r="C75" s="41"/>
      <c r="D75" s="41"/>
      <c r="E75" s="37">
        <f t="shared" si="1"/>
        <v>0</v>
      </c>
      <c r="F75" s="98"/>
      <c r="G75" s="98"/>
      <c r="H75" s="98"/>
    </row>
    <row r="76" spans="1:8" ht="18" x14ac:dyDescent="0.3">
      <c r="A76" s="115" t="s">
        <v>133</v>
      </c>
      <c r="B76" s="114"/>
      <c r="C76" s="41"/>
      <c r="D76" s="41"/>
      <c r="E76" s="37">
        <f t="shared" ref="E76:E106" si="2">+(D76*2+C76)/3</f>
        <v>0</v>
      </c>
      <c r="F76" s="98"/>
      <c r="G76" s="98"/>
      <c r="H76" s="98"/>
    </row>
    <row r="77" spans="1:8" ht="18" x14ac:dyDescent="0.3">
      <c r="A77" s="115" t="s">
        <v>182</v>
      </c>
      <c r="B77" s="114"/>
      <c r="C77" s="41"/>
      <c r="D77" s="41"/>
      <c r="E77" s="37">
        <f t="shared" si="2"/>
        <v>0</v>
      </c>
      <c r="F77" s="98"/>
      <c r="G77" s="98"/>
      <c r="H77" s="98"/>
    </row>
    <row r="78" spans="1:8" ht="18" x14ac:dyDescent="0.3">
      <c r="A78" s="115" t="s">
        <v>168</v>
      </c>
      <c r="B78" s="114"/>
      <c r="C78" s="41"/>
      <c r="D78" s="41"/>
      <c r="E78" s="37">
        <f t="shared" si="2"/>
        <v>0</v>
      </c>
      <c r="F78" s="98"/>
      <c r="G78" s="98"/>
      <c r="H78" s="98"/>
    </row>
    <row r="79" spans="1:8" ht="18" x14ac:dyDescent="0.3">
      <c r="A79" s="115" t="s">
        <v>197</v>
      </c>
      <c r="B79" s="114"/>
      <c r="C79" s="41"/>
      <c r="D79" s="41"/>
      <c r="E79" s="37">
        <f t="shared" si="2"/>
        <v>0</v>
      </c>
      <c r="F79" s="98"/>
      <c r="G79" s="98"/>
      <c r="H79" s="98"/>
    </row>
    <row r="80" spans="1:8" ht="18" x14ac:dyDescent="0.3">
      <c r="A80" s="115" t="s">
        <v>170</v>
      </c>
      <c r="B80" s="114"/>
      <c r="C80" s="41"/>
      <c r="D80" s="41"/>
      <c r="E80" s="37">
        <f t="shared" si="2"/>
        <v>0</v>
      </c>
      <c r="F80" s="98"/>
      <c r="G80" s="98"/>
      <c r="H80" s="98"/>
    </row>
    <row r="81" spans="1:8" ht="18" x14ac:dyDescent="0.3">
      <c r="A81" s="115" t="s">
        <v>202</v>
      </c>
      <c r="B81" s="114"/>
      <c r="C81" s="41"/>
      <c r="D81" s="41"/>
      <c r="E81" s="37">
        <f t="shared" si="2"/>
        <v>0</v>
      </c>
      <c r="F81" s="98"/>
      <c r="G81" s="98"/>
      <c r="H81" s="98"/>
    </row>
    <row r="82" spans="1:8" ht="18" x14ac:dyDescent="0.3">
      <c r="A82" s="115" t="s">
        <v>184</v>
      </c>
      <c r="B82" s="114"/>
      <c r="C82" s="41"/>
      <c r="D82" s="41"/>
      <c r="E82" s="37">
        <f t="shared" si="2"/>
        <v>0</v>
      </c>
      <c r="F82" s="98"/>
      <c r="G82" s="98"/>
      <c r="H82" s="98"/>
    </row>
    <row r="83" spans="1:8" ht="18" x14ac:dyDescent="0.3">
      <c r="A83" s="115" t="s">
        <v>134</v>
      </c>
      <c r="B83" s="114"/>
      <c r="C83" s="41"/>
      <c r="D83" s="41"/>
      <c r="E83" s="37">
        <f t="shared" si="2"/>
        <v>0</v>
      </c>
      <c r="F83" s="98"/>
      <c r="G83" s="98"/>
      <c r="H83" s="98"/>
    </row>
    <row r="84" spans="1:8" ht="18" x14ac:dyDescent="0.3">
      <c r="A84" s="115" t="s">
        <v>203</v>
      </c>
      <c r="B84" s="114"/>
      <c r="C84" s="41"/>
      <c r="D84" s="41"/>
      <c r="E84" s="37">
        <f t="shared" si="2"/>
        <v>0</v>
      </c>
      <c r="F84" s="98"/>
      <c r="G84" s="98"/>
      <c r="H84" s="98"/>
    </row>
    <row r="85" spans="1:8" ht="18" x14ac:dyDescent="0.3">
      <c r="A85" s="115" t="s">
        <v>180</v>
      </c>
      <c r="B85" s="114"/>
      <c r="C85" s="41"/>
      <c r="D85" s="41"/>
      <c r="E85" s="37">
        <f t="shared" si="2"/>
        <v>0</v>
      </c>
      <c r="F85" s="98"/>
      <c r="G85" s="98"/>
      <c r="H85" s="98"/>
    </row>
    <row r="86" spans="1:8" ht="18" x14ac:dyDescent="0.3">
      <c r="A86" s="115" t="s">
        <v>172</v>
      </c>
      <c r="B86" s="114"/>
      <c r="C86" s="41"/>
      <c r="D86" s="41"/>
      <c r="E86" s="37">
        <f t="shared" si="2"/>
        <v>0</v>
      </c>
      <c r="F86" s="98"/>
      <c r="G86" s="98"/>
      <c r="H86" s="98"/>
    </row>
    <row r="87" spans="1:8" ht="21" customHeight="1" x14ac:dyDescent="0.3">
      <c r="A87" s="115" t="s">
        <v>161</v>
      </c>
      <c r="B87" s="114"/>
      <c r="C87" s="41"/>
      <c r="D87" s="41"/>
      <c r="E87" s="37">
        <f t="shared" si="2"/>
        <v>0</v>
      </c>
      <c r="F87" s="98"/>
      <c r="G87" s="98"/>
      <c r="H87" s="98"/>
    </row>
    <row r="88" spans="1:8" ht="18" x14ac:dyDescent="0.3">
      <c r="A88" s="115" t="s">
        <v>131</v>
      </c>
      <c r="B88" s="114"/>
      <c r="C88" s="41"/>
      <c r="D88" s="41"/>
      <c r="E88" s="37">
        <f t="shared" si="2"/>
        <v>0</v>
      </c>
      <c r="F88" s="98"/>
      <c r="G88" s="98"/>
      <c r="H88" s="98"/>
    </row>
    <row r="89" spans="1:8" ht="18" x14ac:dyDescent="0.3">
      <c r="A89" s="115" t="s">
        <v>111</v>
      </c>
      <c r="B89" s="22"/>
      <c r="C89" s="41"/>
      <c r="D89" s="41"/>
      <c r="E89" s="37">
        <f t="shared" si="2"/>
        <v>0</v>
      </c>
      <c r="F89" s="98"/>
      <c r="G89" s="98"/>
      <c r="H89" s="98"/>
    </row>
    <row r="90" spans="1:8" ht="18" x14ac:dyDescent="0.3">
      <c r="A90" s="115" t="s">
        <v>129</v>
      </c>
      <c r="B90" s="114"/>
      <c r="C90" s="41"/>
      <c r="D90" s="41"/>
      <c r="E90" s="37">
        <f t="shared" si="2"/>
        <v>0</v>
      </c>
      <c r="F90" s="98"/>
      <c r="G90" s="98"/>
      <c r="H90" s="98"/>
    </row>
    <row r="91" spans="1:8" ht="18" x14ac:dyDescent="0.3">
      <c r="A91" s="115" t="s">
        <v>123</v>
      </c>
      <c r="B91" s="114"/>
      <c r="C91" s="41"/>
      <c r="D91" s="41"/>
      <c r="E91" s="37">
        <f t="shared" si="2"/>
        <v>0</v>
      </c>
      <c r="F91" s="98"/>
      <c r="G91" s="98"/>
      <c r="H91" s="98"/>
    </row>
    <row r="92" spans="1:8" ht="18" x14ac:dyDescent="0.3">
      <c r="A92" s="115" t="s">
        <v>112</v>
      </c>
      <c r="B92" s="114"/>
      <c r="C92" s="41"/>
      <c r="D92" s="41"/>
      <c r="E92" s="37">
        <f t="shared" si="2"/>
        <v>0</v>
      </c>
      <c r="F92" s="98"/>
      <c r="G92" s="98"/>
      <c r="H92" s="98"/>
    </row>
    <row r="93" spans="1:8" ht="18" x14ac:dyDescent="0.3">
      <c r="A93" s="115" t="s">
        <v>156</v>
      </c>
      <c r="B93" s="22"/>
      <c r="C93" s="41"/>
      <c r="D93" s="41"/>
      <c r="E93" s="37">
        <f t="shared" si="2"/>
        <v>0</v>
      </c>
      <c r="F93" s="98"/>
      <c r="G93" s="98"/>
      <c r="H93" s="98"/>
    </row>
    <row r="94" spans="1:8" ht="18" x14ac:dyDescent="0.3">
      <c r="A94" s="115" t="s">
        <v>187</v>
      </c>
      <c r="B94" s="114"/>
      <c r="C94" s="41"/>
      <c r="D94" s="41"/>
      <c r="E94" s="37">
        <f t="shared" si="2"/>
        <v>0</v>
      </c>
      <c r="F94" s="98"/>
      <c r="G94" s="98"/>
      <c r="H94" s="98"/>
    </row>
    <row r="95" spans="1:8" ht="18" x14ac:dyDescent="0.3">
      <c r="A95" s="115" t="s">
        <v>163</v>
      </c>
      <c r="B95" s="114"/>
      <c r="C95" s="41"/>
      <c r="D95" s="41"/>
      <c r="E95" s="37">
        <f t="shared" si="2"/>
        <v>0</v>
      </c>
      <c r="F95" s="98"/>
      <c r="G95" s="98"/>
      <c r="H95" s="98"/>
    </row>
    <row r="96" spans="1:8" ht="18" x14ac:dyDescent="0.3">
      <c r="A96" s="115" t="s">
        <v>175</v>
      </c>
      <c r="B96" s="22"/>
      <c r="C96" s="41"/>
      <c r="D96" s="41"/>
      <c r="E96" s="37">
        <f t="shared" si="2"/>
        <v>0</v>
      </c>
      <c r="F96" s="98"/>
      <c r="G96" s="98"/>
      <c r="H96" s="98"/>
    </row>
    <row r="97" spans="1:8" ht="18" x14ac:dyDescent="0.3">
      <c r="A97" s="115" t="s">
        <v>186</v>
      </c>
      <c r="B97" s="114"/>
      <c r="C97" s="41"/>
      <c r="D97" s="41"/>
      <c r="E97" s="37">
        <f t="shared" si="2"/>
        <v>0</v>
      </c>
      <c r="F97" s="98"/>
      <c r="G97" s="98"/>
      <c r="H97" s="98"/>
    </row>
    <row r="98" spans="1:8" ht="18" x14ac:dyDescent="0.3">
      <c r="A98" s="115" t="s">
        <v>117</v>
      </c>
      <c r="B98" s="114"/>
      <c r="C98" s="41"/>
      <c r="D98" s="41"/>
      <c r="E98" s="37">
        <f t="shared" si="2"/>
        <v>0</v>
      </c>
      <c r="F98" s="98"/>
      <c r="G98" s="98"/>
      <c r="H98" s="98"/>
    </row>
    <row r="99" spans="1:8" ht="18" x14ac:dyDescent="0.3">
      <c r="A99" s="115" t="s">
        <v>114</v>
      </c>
      <c r="B99" s="114"/>
      <c r="C99" s="41"/>
      <c r="D99" s="41"/>
      <c r="E99" s="37">
        <f t="shared" si="2"/>
        <v>0</v>
      </c>
      <c r="F99" s="98"/>
      <c r="G99" s="98"/>
      <c r="H99" s="98"/>
    </row>
    <row r="100" spans="1:8" ht="18" x14ac:dyDescent="0.3">
      <c r="A100" s="115" t="s">
        <v>173</v>
      </c>
      <c r="B100" s="114"/>
      <c r="C100" s="41"/>
      <c r="D100" s="41"/>
      <c r="E100" s="37">
        <f t="shared" si="2"/>
        <v>0</v>
      </c>
      <c r="F100" s="98"/>
      <c r="G100" s="98"/>
      <c r="H100" s="98"/>
    </row>
    <row r="101" spans="1:8" ht="18" x14ac:dyDescent="0.3">
      <c r="A101" s="115" t="s">
        <v>185</v>
      </c>
      <c r="B101" s="114"/>
      <c r="C101" s="41"/>
      <c r="D101" s="41"/>
      <c r="E101" s="37">
        <f t="shared" si="2"/>
        <v>0</v>
      </c>
      <c r="F101" s="98"/>
      <c r="G101" s="98"/>
      <c r="H101" s="98"/>
    </row>
    <row r="102" spans="1:8" ht="18" x14ac:dyDescent="0.3">
      <c r="A102" s="115" t="s">
        <v>188</v>
      </c>
      <c r="B102" s="114"/>
      <c r="C102" s="41"/>
      <c r="D102" s="41"/>
      <c r="E102" s="37">
        <f t="shared" si="2"/>
        <v>0</v>
      </c>
      <c r="F102" s="98"/>
      <c r="G102" s="98"/>
      <c r="H102" s="98"/>
    </row>
    <row r="103" spans="1:8" ht="18" x14ac:dyDescent="0.3">
      <c r="A103" s="115" t="s">
        <v>147</v>
      </c>
      <c r="B103" s="114"/>
      <c r="C103" s="41"/>
      <c r="D103" s="41"/>
      <c r="E103" s="37">
        <f t="shared" si="2"/>
        <v>0</v>
      </c>
      <c r="F103" s="98"/>
      <c r="G103" s="98"/>
      <c r="H103" s="98"/>
    </row>
    <row r="104" spans="1:8" ht="18" x14ac:dyDescent="0.3">
      <c r="A104" s="115" t="s">
        <v>167</v>
      </c>
      <c r="B104" s="114"/>
      <c r="C104" s="41"/>
      <c r="D104" s="41"/>
      <c r="E104" s="37">
        <f t="shared" si="2"/>
        <v>0</v>
      </c>
      <c r="F104" s="98"/>
      <c r="G104" s="98"/>
      <c r="H104" s="98"/>
    </row>
    <row r="105" spans="1:8" ht="18" x14ac:dyDescent="0.3">
      <c r="A105" s="115" t="s">
        <v>195</v>
      </c>
      <c r="B105" s="114"/>
      <c r="C105" s="41"/>
      <c r="D105" s="41"/>
      <c r="E105" s="37">
        <f t="shared" si="2"/>
        <v>0</v>
      </c>
      <c r="F105" s="98"/>
      <c r="G105" s="98"/>
      <c r="H105" s="98"/>
    </row>
    <row r="106" spans="1:8" ht="18" x14ac:dyDescent="0.3">
      <c r="A106" s="115" t="s">
        <v>115</v>
      </c>
      <c r="B106" s="114"/>
      <c r="C106" s="41"/>
      <c r="D106" s="41"/>
      <c r="E106" s="37">
        <f t="shared" si="2"/>
        <v>0</v>
      </c>
      <c r="F106" s="98"/>
      <c r="G106" s="98"/>
      <c r="H106" s="98"/>
    </row>
    <row r="107" spans="1:8" ht="18" x14ac:dyDescent="0.3">
      <c r="A107" s="115" t="s">
        <v>204</v>
      </c>
      <c r="B107" s="116"/>
      <c r="C107" s="39"/>
      <c r="D107" s="39"/>
      <c r="E107" s="39"/>
      <c r="F107" s="98"/>
      <c r="G107" s="98"/>
      <c r="H107" s="98"/>
    </row>
    <row r="108" spans="1:8" ht="18" x14ac:dyDescent="0.3">
      <c r="A108" s="115" t="s">
        <v>205</v>
      </c>
      <c r="B108" s="117"/>
      <c r="C108" s="118"/>
      <c r="D108" s="118"/>
      <c r="E108" s="118"/>
      <c r="F108" s="95"/>
      <c r="G108" s="95"/>
      <c r="H108" s="95"/>
    </row>
    <row r="109" spans="1:8" ht="16.5" x14ac:dyDescent="0.3">
      <c r="A109" s="70"/>
      <c r="B109" s="103"/>
      <c r="C109" s="103"/>
      <c r="D109" s="103"/>
      <c r="E109" s="103"/>
      <c r="F109" s="95"/>
      <c r="G109" s="95"/>
      <c r="H109" s="95"/>
    </row>
    <row r="110" spans="1:8" ht="16.5" x14ac:dyDescent="0.3">
      <c r="A110" s="94"/>
      <c r="B110" s="299" t="s">
        <v>392</v>
      </c>
      <c r="C110" s="299"/>
      <c r="D110" s="299"/>
      <c r="E110" s="299"/>
      <c r="F110" s="104"/>
      <c r="G110" s="104"/>
      <c r="H110" s="104"/>
    </row>
    <row r="111" spans="1:8" ht="16.5" x14ac:dyDescent="0.3">
      <c r="A111" s="94"/>
      <c r="B111" s="94"/>
      <c r="C111" s="94"/>
      <c r="D111" s="94"/>
      <c r="E111" s="94"/>
      <c r="F111" s="104"/>
      <c r="G111" s="104"/>
      <c r="H111" s="104"/>
    </row>
    <row r="112" spans="1:8" ht="16.5" x14ac:dyDescent="0.3">
      <c r="A112" s="94"/>
      <c r="B112" s="94"/>
      <c r="C112" s="105" t="s">
        <v>393</v>
      </c>
      <c r="D112" s="105" t="s">
        <v>394</v>
      </c>
      <c r="E112" s="105" t="s">
        <v>395</v>
      </c>
      <c r="F112" s="104"/>
      <c r="G112" s="104"/>
      <c r="H112" s="104"/>
    </row>
    <row r="113" spans="1:8" ht="16.5" x14ac:dyDescent="0.3">
      <c r="A113" s="94"/>
      <c r="B113" s="106" t="s">
        <v>396</v>
      </c>
      <c r="C113" s="107">
        <v>55</v>
      </c>
      <c r="D113" s="107">
        <v>40</v>
      </c>
      <c r="E113" s="107">
        <f>SUM(C113:D113)</f>
        <v>95</v>
      </c>
      <c r="F113" s="104"/>
      <c r="G113" s="104"/>
      <c r="H113" s="104"/>
    </row>
    <row r="114" spans="1:8" ht="16.5" x14ac:dyDescent="0.3">
      <c r="A114" s="94"/>
      <c r="B114" s="105" t="s">
        <v>397</v>
      </c>
      <c r="C114" s="107">
        <v>55</v>
      </c>
      <c r="D114" s="107">
        <v>40</v>
      </c>
      <c r="E114" s="107">
        <f>SUM(C114:D114)</f>
        <v>95</v>
      </c>
      <c r="F114" s="104"/>
      <c r="G114" s="104"/>
      <c r="H114" s="104"/>
    </row>
    <row r="115" spans="1:8" ht="16.5" x14ac:dyDescent="0.3">
      <c r="A115" s="94"/>
      <c r="B115" s="105" t="s">
        <v>398</v>
      </c>
      <c r="C115" s="107">
        <v>0</v>
      </c>
      <c r="D115" s="107">
        <v>0</v>
      </c>
      <c r="E115" s="107">
        <f>SUM(C115:D115)</f>
        <v>0</v>
      </c>
      <c r="F115" s="104"/>
      <c r="G115" s="104"/>
      <c r="H115" s="104"/>
    </row>
    <row r="116" spans="1:8" ht="16.5" x14ac:dyDescent="0.3">
      <c r="A116" s="94"/>
      <c r="B116" s="105" t="s">
        <v>399</v>
      </c>
      <c r="C116" s="107">
        <v>13</v>
      </c>
      <c r="D116" s="107">
        <v>8</v>
      </c>
      <c r="E116" s="107">
        <f>SUM(C116:D116)</f>
        <v>21</v>
      </c>
      <c r="F116" s="104"/>
      <c r="G116" s="104"/>
      <c r="H116" s="104"/>
    </row>
    <row r="117" spans="1:8" ht="16.5" x14ac:dyDescent="0.3">
      <c r="A117" s="94"/>
      <c r="B117" s="105" t="s">
        <v>400</v>
      </c>
      <c r="C117" s="107">
        <v>42</v>
      </c>
      <c r="D117" s="107">
        <v>32</v>
      </c>
      <c r="E117" s="107">
        <f>SUM(C117:D117)</f>
        <v>74</v>
      </c>
      <c r="F117" s="104"/>
      <c r="G117" s="104"/>
      <c r="H117" s="104"/>
    </row>
    <row r="118" spans="1:8" ht="16.5" x14ac:dyDescent="0.3">
      <c r="A118" s="94"/>
      <c r="B118" s="105" t="s">
        <v>401</v>
      </c>
      <c r="C118" s="108">
        <f>+C116/C113</f>
        <v>0.23636363636363636</v>
      </c>
      <c r="D118" s="108">
        <f>+D116/D113</f>
        <v>0.2</v>
      </c>
      <c r="E118" s="108">
        <f>+E116/E113</f>
        <v>0.22105263157894736</v>
      </c>
      <c r="F118" s="104"/>
      <c r="G118" s="104"/>
      <c r="H118" s="104"/>
    </row>
    <row r="119" spans="1:8" x14ac:dyDescent="0.25">
      <c r="A119" s="104"/>
      <c r="B119" s="104"/>
      <c r="C119" s="104"/>
      <c r="D119" s="104"/>
      <c r="E119" s="104"/>
      <c r="F119" s="104"/>
      <c r="G119" s="104"/>
      <c r="H119" s="104"/>
    </row>
    <row r="120" spans="1:8" ht="16.5" x14ac:dyDescent="0.3">
      <c r="A120" s="94"/>
      <c r="B120" s="94"/>
      <c r="C120" s="94"/>
      <c r="D120" s="94" t="s">
        <v>406</v>
      </c>
      <c r="E120" s="94"/>
      <c r="F120" s="94"/>
      <c r="G120" s="298"/>
      <c r="H120" s="298"/>
    </row>
    <row r="121" spans="1:8" ht="16.5" x14ac:dyDescent="0.3">
      <c r="A121" s="94"/>
      <c r="B121" s="94"/>
      <c r="C121" s="94"/>
      <c r="D121" s="94"/>
      <c r="E121" s="94"/>
      <c r="F121" s="94"/>
      <c r="G121" s="94"/>
      <c r="H121" s="94"/>
    </row>
    <row r="122" spans="1:8" ht="16.5" x14ac:dyDescent="0.3">
      <c r="A122" s="298" t="s">
        <v>403</v>
      </c>
      <c r="B122" s="298"/>
      <c r="C122" s="94"/>
      <c r="D122" s="94" t="s">
        <v>404</v>
      </c>
      <c r="E122" s="94"/>
      <c r="F122" s="94"/>
      <c r="G122" s="298"/>
      <c r="H122" s="298"/>
    </row>
    <row r="123" spans="1:8" ht="16.5" x14ac:dyDescent="0.3">
      <c r="A123" s="94"/>
      <c r="B123" s="94"/>
      <c r="C123" s="94"/>
      <c r="D123" s="94"/>
      <c r="E123" s="94"/>
      <c r="F123" s="94"/>
      <c r="G123" s="94"/>
      <c r="H123" s="94"/>
    </row>
    <row r="124" spans="1:8" ht="16.5" x14ac:dyDescent="0.3">
      <c r="A124" s="94"/>
      <c r="B124" s="94"/>
      <c r="C124" s="94"/>
      <c r="D124" s="94"/>
      <c r="E124" s="94"/>
      <c r="F124" s="94"/>
      <c r="G124" s="94"/>
      <c r="H124" s="94"/>
    </row>
    <row r="125" spans="1:8" ht="16.5" x14ac:dyDescent="0.3">
      <c r="A125" s="94"/>
      <c r="B125" s="94"/>
      <c r="C125" s="94"/>
      <c r="D125" s="94"/>
      <c r="E125" s="94"/>
      <c r="F125" s="94"/>
      <c r="G125" s="94"/>
      <c r="H125" s="94"/>
    </row>
    <row r="126" spans="1:8" ht="16.5" x14ac:dyDescent="0.3">
      <c r="A126" s="298" t="s">
        <v>407</v>
      </c>
      <c r="B126" s="298"/>
      <c r="C126" s="94"/>
      <c r="D126" s="94" t="s">
        <v>8</v>
      </c>
      <c r="E126" s="94"/>
      <c r="F126" s="94"/>
      <c r="G126" s="298"/>
      <c r="H126" s="298"/>
    </row>
    <row r="127" spans="1:8" ht="16.5" x14ac:dyDescent="0.3">
      <c r="A127" s="94"/>
      <c r="B127" s="103"/>
      <c r="C127" s="103"/>
      <c r="D127" s="103"/>
      <c r="E127" s="103"/>
      <c r="F127" s="94"/>
      <c r="G127" s="94"/>
      <c r="H127" s="94"/>
    </row>
  </sheetData>
  <sortState ref="A13:E108">
    <sortCondition ref="B12:B108"/>
  </sortState>
  <mergeCells count="17">
    <mergeCell ref="G120:H120"/>
    <mergeCell ref="A122:B122"/>
    <mergeCell ref="G122:H122"/>
    <mergeCell ref="A126:B126"/>
    <mergeCell ref="G126:H126"/>
    <mergeCell ref="A10:A11"/>
    <mergeCell ref="B10:B11"/>
    <mergeCell ref="C10:C11"/>
    <mergeCell ref="D10:D11"/>
    <mergeCell ref="E10:E11"/>
    <mergeCell ref="B110:E110"/>
    <mergeCell ref="C1:G1"/>
    <mergeCell ref="C2:G2"/>
    <mergeCell ref="B5:G5"/>
    <mergeCell ref="B6:G6"/>
    <mergeCell ref="B7:G8"/>
    <mergeCell ref="B9:E9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I125"/>
  <sheetViews>
    <sheetView topLeftCell="A62" workbookViewId="0">
      <selection activeCell="B79" sqref="B79"/>
    </sheetView>
  </sheetViews>
  <sheetFormatPr baseColWidth="10" defaultRowHeight="15" x14ac:dyDescent="0.25"/>
  <cols>
    <col min="1" max="1" width="6.140625" customWidth="1"/>
    <col min="2" max="2" width="40.5703125" customWidth="1"/>
    <col min="4" max="4" width="12.7109375" customWidth="1"/>
    <col min="5" max="5" width="13" customWidth="1"/>
  </cols>
  <sheetData>
    <row r="1" spans="1:8" ht="20.25" x14ac:dyDescent="0.3">
      <c r="A1" s="1" t="s">
        <v>929</v>
      </c>
      <c r="B1" s="6"/>
      <c r="C1" s="31" t="s">
        <v>5</v>
      </c>
      <c r="D1" s="31"/>
      <c r="E1" s="31"/>
      <c r="F1" s="2"/>
      <c r="G1" s="2"/>
      <c r="H1" s="76"/>
    </row>
    <row r="2" spans="1:8" ht="16.5" x14ac:dyDescent="0.3">
      <c r="A2" s="1" t="s">
        <v>930</v>
      </c>
      <c r="B2" s="6"/>
      <c r="C2" s="276" t="s">
        <v>6</v>
      </c>
      <c r="D2" s="276"/>
      <c r="E2" s="276"/>
      <c r="F2" s="2"/>
      <c r="G2" s="2"/>
      <c r="H2" s="76"/>
    </row>
    <row r="3" spans="1:8" ht="16.5" x14ac:dyDescent="0.3">
      <c r="A3" s="1" t="s">
        <v>931</v>
      </c>
      <c r="B3" s="6"/>
      <c r="C3" s="2"/>
      <c r="D3" s="2"/>
      <c r="E3" s="2"/>
      <c r="F3" s="2"/>
      <c r="G3" s="2"/>
      <c r="H3" s="76"/>
    </row>
    <row r="4" spans="1:8" ht="16.5" x14ac:dyDescent="0.3">
      <c r="A4" s="1" t="s">
        <v>932</v>
      </c>
      <c r="B4" s="6"/>
      <c r="C4" s="2"/>
      <c r="D4" s="3"/>
      <c r="E4" s="3"/>
      <c r="F4" s="2"/>
      <c r="G4" s="2"/>
      <c r="H4" s="76"/>
    </row>
    <row r="5" spans="1:8" ht="18.75" x14ac:dyDescent="0.3">
      <c r="A5" s="2"/>
      <c r="B5" s="283" t="s">
        <v>1047</v>
      </c>
      <c r="C5" s="283"/>
      <c r="D5" s="283"/>
      <c r="E5" s="283"/>
      <c r="F5" s="283"/>
      <c r="G5" s="283"/>
      <c r="H5" s="76"/>
    </row>
    <row r="6" spans="1:8" ht="21" x14ac:dyDescent="0.3">
      <c r="A6" s="2"/>
      <c r="B6" s="4"/>
      <c r="C6" s="283" t="s">
        <v>1048</v>
      </c>
      <c r="D6" s="283"/>
      <c r="E6" s="283"/>
      <c r="F6" s="283"/>
      <c r="G6" s="283"/>
      <c r="H6" s="76"/>
    </row>
    <row r="7" spans="1:8" ht="16.5" customHeight="1" x14ac:dyDescent="0.3">
      <c r="A7" s="324" t="s">
        <v>1046</v>
      </c>
      <c r="B7" s="324"/>
      <c r="C7" s="324"/>
      <c r="D7" s="324"/>
      <c r="E7" s="324"/>
      <c r="F7" s="324"/>
      <c r="G7" s="324"/>
      <c r="H7" s="75"/>
    </row>
    <row r="8" spans="1:8" ht="16.5" x14ac:dyDescent="0.3">
      <c r="A8" s="324"/>
      <c r="B8" s="324"/>
      <c r="C8" s="324"/>
      <c r="D8" s="324"/>
      <c r="E8" s="324"/>
      <c r="F8" s="324"/>
      <c r="G8" s="324"/>
      <c r="H8" s="75"/>
    </row>
    <row r="9" spans="1:8" ht="18.75" x14ac:dyDescent="0.3">
      <c r="A9" s="353"/>
      <c r="B9" s="354"/>
      <c r="C9" s="354"/>
      <c r="D9" s="354"/>
      <c r="E9" s="354"/>
      <c r="F9" s="353"/>
      <c r="G9" s="353"/>
      <c r="H9" s="76"/>
    </row>
    <row r="10" spans="1:8" ht="15" customHeight="1" x14ac:dyDescent="0.25">
      <c r="A10" s="364" t="s">
        <v>106</v>
      </c>
      <c r="B10" s="365" t="s">
        <v>0</v>
      </c>
      <c r="C10" s="340" t="s">
        <v>210</v>
      </c>
      <c r="D10" s="340" t="s">
        <v>445</v>
      </c>
      <c r="E10" s="340" t="s">
        <v>446</v>
      </c>
      <c r="F10" s="355"/>
      <c r="G10" s="355"/>
      <c r="H10" s="79"/>
    </row>
    <row r="11" spans="1:8" ht="18" x14ac:dyDescent="0.25">
      <c r="A11" s="364"/>
      <c r="B11" s="365"/>
      <c r="C11" s="340"/>
      <c r="D11" s="340"/>
      <c r="E11" s="340"/>
      <c r="F11" s="355"/>
      <c r="G11" s="355"/>
      <c r="H11" s="79"/>
    </row>
    <row r="12" spans="1:8" ht="18.75" x14ac:dyDescent="0.3">
      <c r="A12" s="319" t="s">
        <v>110</v>
      </c>
      <c r="B12" s="356" t="s">
        <v>554</v>
      </c>
      <c r="C12" s="344">
        <v>16.211111111111112</v>
      </c>
      <c r="D12" s="245">
        <v>15.233333333333334</v>
      </c>
      <c r="E12" s="245">
        <f t="shared" ref="E12:E43" si="0">SUM(C12+D12)/2</f>
        <v>15.722222222222223</v>
      </c>
      <c r="F12" s="353"/>
      <c r="G12" s="353"/>
      <c r="H12" s="84"/>
    </row>
    <row r="13" spans="1:8" ht="27.75" customHeight="1" x14ac:dyDescent="0.3">
      <c r="A13" s="319" t="s">
        <v>1056</v>
      </c>
      <c r="B13" s="356" t="s">
        <v>585</v>
      </c>
      <c r="C13" s="344">
        <v>15.166666666666666</v>
      </c>
      <c r="D13" s="245">
        <v>14.155555555555557</v>
      </c>
      <c r="E13" s="245">
        <f t="shared" si="0"/>
        <v>14.661111111111111</v>
      </c>
      <c r="F13" s="353"/>
      <c r="G13" s="353"/>
      <c r="H13" s="84"/>
    </row>
    <row r="14" spans="1:8" ht="18.75" x14ac:dyDescent="0.3">
      <c r="A14" s="319" t="s">
        <v>1057</v>
      </c>
      <c r="B14" s="356" t="s">
        <v>597</v>
      </c>
      <c r="C14" s="344">
        <v>15.188888888888888</v>
      </c>
      <c r="D14" s="245">
        <v>14.122222222222222</v>
      </c>
      <c r="E14" s="245">
        <f t="shared" si="0"/>
        <v>14.655555555555555</v>
      </c>
      <c r="F14" s="353"/>
      <c r="G14" s="353"/>
      <c r="H14" s="84"/>
    </row>
    <row r="15" spans="1:8" ht="18.75" x14ac:dyDescent="0.3">
      <c r="A15" s="319" t="s">
        <v>1058</v>
      </c>
      <c r="B15" s="356" t="s">
        <v>580</v>
      </c>
      <c r="C15" s="344">
        <v>14.633333333333333</v>
      </c>
      <c r="D15" s="245">
        <v>14.577777777777778</v>
      </c>
      <c r="E15" s="245">
        <f t="shared" si="0"/>
        <v>14.605555555555554</v>
      </c>
      <c r="F15" s="353"/>
      <c r="G15" s="353"/>
      <c r="H15" s="84"/>
    </row>
    <row r="16" spans="1:8" ht="18.75" x14ac:dyDescent="0.3">
      <c r="A16" s="319" t="s">
        <v>1059</v>
      </c>
      <c r="B16" s="356" t="s">
        <v>595</v>
      </c>
      <c r="C16" s="344">
        <v>15.133333333333333</v>
      </c>
      <c r="D16" s="357">
        <v>13.877777777777778</v>
      </c>
      <c r="E16" s="245">
        <f t="shared" si="0"/>
        <v>14.505555555555556</v>
      </c>
      <c r="F16" s="353"/>
      <c r="G16" s="353"/>
      <c r="H16" s="84"/>
    </row>
    <row r="17" spans="1:9" ht="23.25" customHeight="1" x14ac:dyDescent="0.3">
      <c r="A17" s="319" t="s">
        <v>1060</v>
      </c>
      <c r="B17" s="356" t="s">
        <v>561</v>
      </c>
      <c r="C17" s="344">
        <v>14.455555555555556</v>
      </c>
      <c r="D17" s="245">
        <v>13.055555555555557</v>
      </c>
      <c r="E17" s="245">
        <f t="shared" si="0"/>
        <v>13.755555555555556</v>
      </c>
      <c r="F17" s="353"/>
      <c r="G17" s="353"/>
      <c r="H17" s="84"/>
    </row>
    <row r="18" spans="1:9" ht="18.75" x14ac:dyDescent="0.3">
      <c r="A18" s="319" t="s">
        <v>1061</v>
      </c>
      <c r="B18" s="356" t="s">
        <v>571</v>
      </c>
      <c r="C18" s="344">
        <v>14.011111111111111</v>
      </c>
      <c r="D18" s="245">
        <v>13.355555555555556</v>
      </c>
      <c r="E18" s="245">
        <f t="shared" si="0"/>
        <v>13.683333333333334</v>
      </c>
      <c r="F18" s="353"/>
      <c r="G18" s="353"/>
      <c r="H18" s="84"/>
    </row>
    <row r="19" spans="1:9" ht="18.75" x14ac:dyDescent="0.3">
      <c r="A19" s="319" t="s">
        <v>1062</v>
      </c>
      <c r="B19" s="356" t="s">
        <v>588</v>
      </c>
      <c r="C19" s="344">
        <v>13.355555555555556</v>
      </c>
      <c r="D19" s="245">
        <v>13.566666666666668</v>
      </c>
      <c r="E19" s="245">
        <f t="shared" si="0"/>
        <v>13.461111111111112</v>
      </c>
      <c r="F19" s="353"/>
      <c r="G19" s="353"/>
      <c r="H19" s="84"/>
    </row>
    <row r="20" spans="1:9" ht="18.75" x14ac:dyDescent="0.3">
      <c r="A20" s="319" t="s">
        <v>1063</v>
      </c>
      <c r="B20" s="356" t="s">
        <v>579</v>
      </c>
      <c r="C20" s="344">
        <v>13.6</v>
      </c>
      <c r="D20" s="245">
        <v>12.955555555555556</v>
      </c>
      <c r="E20" s="245">
        <f t="shared" si="0"/>
        <v>13.277777777777779</v>
      </c>
      <c r="F20" s="353"/>
      <c r="G20" s="353"/>
      <c r="H20" s="84"/>
    </row>
    <row r="21" spans="1:9" ht="18.75" x14ac:dyDescent="0.3">
      <c r="A21" s="319" t="s">
        <v>1064</v>
      </c>
      <c r="B21" s="358" t="s">
        <v>558</v>
      </c>
      <c r="C21" s="344">
        <v>13.566666666666668</v>
      </c>
      <c r="D21" s="245">
        <v>12.888888888888891</v>
      </c>
      <c r="E21" s="245">
        <f t="shared" si="0"/>
        <v>13.22777777777778</v>
      </c>
      <c r="F21" s="353"/>
      <c r="G21" s="353"/>
      <c r="H21" s="84"/>
    </row>
    <row r="22" spans="1:9" ht="19.5" customHeight="1" x14ac:dyDescent="0.3">
      <c r="A22" s="319" t="s">
        <v>1065</v>
      </c>
      <c r="B22" s="356" t="s">
        <v>562</v>
      </c>
      <c r="C22" s="344">
        <v>12.655555555555557</v>
      </c>
      <c r="D22" s="245">
        <v>13.455555555555556</v>
      </c>
      <c r="E22" s="245">
        <f t="shared" si="0"/>
        <v>13.055555555555557</v>
      </c>
      <c r="F22" s="353"/>
      <c r="G22" s="353"/>
      <c r="H22" s="84"/>
    </row>
    <row r="23" spans="1:9" ht="26.25" customHeight="1" x14ac:dyDescent="0.3">
      <c r="A23" s="319" t="s">
        <v>1066</v>
      </c>
      <c r="B23" s="356" t="s">
        <v>568</v>
      </c>
      <c r="C23" s="344">
        <v>12.766666666666666</v>
      </c>
      <c r="D23" s="245">
        <v>13.255555555555555</v>
      </c>
      <c r="E23" s="245">
        <f t="shared" si="0"/>
        <v>13.011111111111109</v>
      </c>
      <c r="F23" s="353"/>
      <c r="G23" s="353"/>
      <c r="H23" s="84"/>
    </row>
    <row r="24" spans="1:9" ht="24" customHeight="1" x14ac:dyDescent="0.3">
      <c r="A24" s="319" t="s">
        <v>1067</v>
      </c>
      <c r="B24" s="356" t="s">
        <v>570</v>
      </c>
      <c r="C24" s="344">
        <v>12.222222222222223</v>
      </c>
      <c r="D24" s="245">
        <v>12.544444444444444</v>
      </c>
      <c r="E24" s="245">
        <f t="shared" si="0"/>
        <v>12.383333333333333</v>
      </c>
      <c r="F24" s="353"/>
      <c r="G24" s="353"/>
      <c r="H24" s="84"/>
    </row>
    <row r="25" spans="1:9" ht="21" customHeight="1" x14ac:dyDescent="0.3">
      <c r="A25" s="319" t="s">
        <v>1068</v>
      </c>
      <c r="B25" s="358" t="s">
        <v>546</v>
      </c>
      <c r="C25" s="344">
        <v>11.844444444444443</v>
      </c>
      <c r="D25" s="245">
        <v>12.700000000000001</v>
      </c>
      <c r="E25" s="245">
        <f t="shared" si="0"/>
        <v>12.272222222222222</v>
      </c>
      <c r="F25" s="353"/>
      <c r="G25" s="353"/>
      <c r="H25" s="84"/>
    </row>
    <row r="26" spans="1:9" ht="18.75" x14ac:dyDescent="0.3">
      <c r="A26" s="319" t="s">
        <v>1069</v>
      </c>
      <c r="B26" s="356" t="s">
        <v>551</v>
      </c>
      <c r="C26" s="344">
        <v>11.444444444444443</v>
      </c>
      <c r="D26" s="245">
        <v>12.933333333333332</v>
      </c>
      <c r="E26" s="245">
        <f t="shared" si="0"/>
        <v>12.188888888888886</v>
      </c>
      <c r="F26" s="353"/>
      <c r="G26" s="353"/>
      <c r="H26" s="84"/>
    </row>
    <row r="27" spans="1:9" ht="18.75" x14ac:dyDescent="0.3">
      <c r="A27" s="319" t="s">
        <v>1070</v>
      </c>
      <c r="B27" s="356" t="s">
        <v>601</v>
      </c>
      <c r="C27" s="344">
        <v>12.244444444444445</v>
      </c>
      <c r="D27" s="245">
        <v>12.111111111111109</v>
      </c>
      <c r="E27" s="245">
        <f t="shared" si="0"/>
        <v>12.177777777777777</v>
      </c>
      <c r="F27" s="353"/>
      <c r="G27" s="353"/>
      <c r="H27" s="84"/>
    </row>
    <row r="28" spans="1:9" ht="18.75" x14ac:dyDescent="0.3">
      <c r="A28" s="319" t="s">
        <v>1071</v>
      </c>
      <c r="B28" s="356" t="s">
        <v>598</v>
      </c>
      <c r="C28" s="344">
        <v>12.766666666666666</v>
      </c>
      <c r="D28" s="245">
        <v>11.455555555555556</v>
      </c>
      <c r="E28" s="245">
        <f t="shared" si="0"/>
        <v>12.111111111111111</v>
      </c>
      <c r="F28" s="353"/>
      <c r="G28" s="353"/>
      <c r="H28" s="84"/>
    </row>
    <row r="29" spans="1:9" ht="31.5" customHeight="1" x14ac:dyDescent="0.3">
      <c r="A29" s="319" t="s">
        <v>1072</v>
      </c>
      <c r="B29" s="356" t="s">
        <v>557</v>
      </c>
      <c r="C29" s="344">
        <v>11.588888888888889</v>
      </c>
      <c r="D29" s="245">
        <v>12.533333333333333</v>
      </c>
      <c r="E29" s="245">
        <f t="shared" si="0"/>
        <v>12.06111111111111</v>
      </c>
      <c r="F29" s="353"/>
      <c r="G29" s="353"/>
      <c r="H29" s="84"/>
      <c r="I29" s="190"/>
    </row>
    <row r="30" spans="1:9" ht="28.5" customHeight="1" x14ac:dyDescent="0.3">
      <c r="A30" s="319" t="s">
        <v>1073</v>
      </c>
      <c r="B30" s="356" t="s">
        <v>591</v>
      </c>
      <c r="C30" s="344">
        <v>11.433333333333332</v>
      </c>
      <c r="D30" s="245">
        <v>12.322222222222223</v>
      </c>
      <c r="E30" s="245">
        <f t="shared" si="0"/>
        <v>11.877777777777776</v>
      </c>
      <c r="F30" s="353"/>
      <c r="G30" s="353"/>
      <c r="H30" s="84"/>
      <c r="I30" s="190"/>
    </row>
    <row r="31" spans="1:9" ht="18.75" x14ac:dyDescent="0.3">
      <c r="A31" s="319" t="s">
        <v>1074</v>
      </c>
      <c r="B31" s="356" t="s">
        <v>603</v>
      </c>
      <c r="C31" s="344">
        <v>11.866666666666667</v>
      </c>
      <c r="D31" s="245">
        <v>11.644444444444444</v>
      </c>
      <c r="E31" s="245">
        <f t="shared" si="0"/>
        <v>11.755555555555556</v>
      </c>
      <c r="F31" s="353"/>
      <c r="G31" s="353"/>
      <c r="H31" s="84"/>
    </row>
    <row r="32" spans="1:9" ht="18.75" x14ac:dyDescent="0.3">
      <c r="A32" s="319" t="s">
        <v>1075</v>
      </c>
      <c r="B32" s="356" t="s">
        <v>569</v>
      </c>
      <c r="C32" s="344">
        <v>11.022222222222224</v>
      </c>
      <c r="D32" s="245">
        <v>12.222222222222223</v>
      </c>
      <c r="E32" s="245">
        <f t="shared" si="0"/>
        <v>11.622222222222224</v>
      </c>
      <c r="F32" s="353"/>
      <c r="G32" s="353"/>
      <c r="H32" s="84"/>
    </row>
    <row r="33" spans="1:8" ht="18.75" x14ac:dyDescent="0.3">
      <c r="A33" s="319" t="s">
        <v>1076</v>
      </c>
      <c r="B33" s="356" t="s">
        <v>592</v>
      </c>
      <c r="C33" s="344">
        <v>11.299999999999999</v>
      </c>
      <c r="D33" s="245">
        <v>11.9</v>
      </c>
      <c r="E33" s="245">
        <f t="shared" si="0"/>
        <v>11.6</v>
      </c>
      <c r="F33" s="353"/>
      <c r="G33" s="353"/>
      <c r="H33" s="84"/>
    </row>
    <row r="34" spans="1:8" ht="24" customHeight="1" x14ac:dyDescent="0.3">
      <c r="A34" s="319" t="s">
        <v>1077</v>
      </c>
      <c r="B34" s="367" t="s">
        <v>1230</v>
      </c>
      <c r="C34" s="344">
        <v>11.111111111111109</v>
      </c>
      <c r="D34" s="245">
        <v>12.066666666666668</v>
      </c>
      <c r="E34" s="245">
        <f t="shared" si="0"/>
        <v>11.588888888888889</v>
      </c>
      <c r="F34" s="353"/>
      <c r="G34" s="353"/>
      <c r="H34" s="84"/>
    </row>
    <row r="35" spans="1:8" ht="18.75" x14ac:dyDescent="0.3">
      <c r="A35" s="319" t="s">
        <v>1078</v>
      </c>
      <c r="B35" s="356" t="s">
        <v>559</v>
      </c>
      <c r="C35" s="344">
        <v>11.866666666666667</v>
      </c>
      <c r="D35" s="245">
        <v>11.055555555555557</v>
      </c>
      <c r="E35" s="245">
        <f t="shared" si="0"/>
        <v>11.461111111111112</v>
      </c>
      <c r="F35" s="353"/>
      <c r="G35" s="353"/>
      <c r="H35" s="84"/>
    </row>
    <row r="36" spans="1:8" ht="18.75" x14ac:dyDescent="0.3">
      <c r="A36" s="319" t="s">
        <v>1079</v>
      </c>
      <c r="B36" s="356" t="s">
        <v>600</v>
      </c>
      <c r="C36" s="344">
        <v>11.444444444444443</v>
      </c>
      <c r="D36" s="245">
        <v>10.988888888888889</v>
      </c>
      <c r="E36" s="245">
        <f t="shared" si="0"/>
        <v>11.216666666666665</v>
      </c>
      <c r="F36" s="353"/>
      <c r="G36" s="353"/>
      <c r="H36" s="84"/>
    </row>
    <row r="37" spans="1:8" ht="18.75" x14ac:dyDescent="0.3">
      <c r="A37" s="319" t="s">
        <v>1080</v>
      </c>
      <c r="B37" s="358" t="s">
        <v>578</v>
      </c>
      <c r="C37" s="344">
        <v>10.722222222222223</v>
      </c>
      <c r="D37" s="245">
        <v>11.633333333333333</v>
      </c>
      <c r="E37" s="245">
        <f t="shared" si="0"/>
        <v>11.177777777777777</v>
      </c>
      <c r="F37" s="353"/>
      <c r="G37" s="353"/>
      <c r="H37" s="84"/>
    </row>
    <row r="38" spans="1:8" ht="18.75" x14ac:dyDescent="0.3">
      <c r="A38" s="319" t="s">
        <v>1081</v>
      </c>
      <c r="B38" s="359" t="s">
        <v>596</v>
      </c>
      <c r="C38" s="344">
        <v>10.577777777777778</v>
      </c>
      <c r="D38" s="245">
        <v>11.044444444444444</v>
      </c>
      <c r="E38" s="245">
        <f t="shared" si="0"/>
        <v>10.81111111111111</v>
      </c>
      <c r="F38" s="353"/>
      <c r="G38" s="353"/>
      <c r="H38" s="84"/>
    </row>
    <row r="39" spans="1:8" ht="18.75" x14ac:dyDescent="0.3">
      <c r="A39" s="319" t="s">
        <v>1082</v>
      </c>
      <c r="B39" s="356" t="s">
        <v>567</v>
      </c>
      <c r="C39" s="344">
        <v>10.533333333333333</v>
      </c>
      <c r="D39" s="245">
        <v>11.022222222222224</v>
      </c>
      <c r="E39" s="245">
        <f t="shared" si="0"/>
        <v>10.777777777777779</v>
      </c>
      <c r="F39" s="353"/>
      <c r="G39" s="353"/>
      <c r="H39" s="84"/>
    </row>
    <row r="40" spans="1:8" ht="18.75" x14ac:dyDescent="0.3">
      <c r="A40" s="319" t="s">
        <v>1083</v>
      </c>
      <c r="B40" s="358" t="s">
        <v>565</v>
      </c>
      <c r="C40" s="344">
        <v>10.377777777777778</v>
      </c>
      <c r="D40" s="245">
        <v>11.133333333333333</v>
      </c>
      <c r="E40" s="245">
        <f t="shared" si="0"/>
        <v>10.755555555555556</v>
      </c>
      <c r="F40" s="353"/>
      <c r="G40" s="353"/>
      <c r="H40" s="84"/>
    </row>
    <row r="41" spans="1:8" ht="18.75" x14ac:dyDescent="0.3">
      <c r="A41" s="319" t="s">
        <v>1084</v>
      </c>
      <c r="B41" s="356" t="s">
        <v>563</v>
      </c>
      <c r="C41" s="344">
        <v>9.7333333333333325</v>
      </c>
      <c r="D41" s="245">
        <v>11.666666666666666</v>
      </c>
      <c r="E41" s="245">
        <f t="shared" si="0"/>
        <v>10.7</v>
      </c>
      <c r="F41" s="353"/>
      <c r="G41" s="353"/>
      <c r="H41" s="84"/>
    </row>
    <row r="42" spans="1:8" ht="18.75" customHeight="1" x14ac:dyDescent="0.3">
      <c r="A42" s="319" t="s">
        <v>1085</v>
      </c>
      <c r="B42" s="356" t="s">
        <v>575</v>
      </c>
      <c r="C42" s="344">
        <v>9.5</v>
      </c>
      <c r="D42" s="245">
        <v>11.255555555555555</v>
      </c>
      <c r="E42" s="245">
        <f t="shared" si="0"/>
        <v>10.377777777777776</v>
      </c>
      <c r="F42" s="353"/>
      <c r="G42" s="353"/>
      <c r="H42" s="84"/>
    </row>
    <row r="43" spans="1:8" ht="18.75" x14ac:dyDescent="0.3">
      <c r="A43" s="319" t="s">
        <v>1086</v>
      </c>
      <c r="B43" s="356" t="s">
        <v>553</v>
      </c>
      <c r="C43" s="344">
        <v>9.7888888888888896</v>
      </c>
      <c r="D43" s="245">
        <v>10.933333333333332</v>
      </c>
      <c r="E43" s="245">
        <f t="shared" si="0"/>
        <v>10.361111111111111</v>
      </c>
      <c r="F43" s="353"/>
      <c r="G43" s="353"/>
      <c r="H43" s="84"/>
    </row>
    <row r="44" spans="1:8" ht="18.75" x14ac:dyDescent="0.3">
      <c r="A44" s="319" t="s">
        <v>1087</v>
      </c>
      <c r="B44" s="356" t="s">
        <v>548</v>
      </c>
      <c r="C44" s="344">
        <v>9.1111111111111125</v>
      </c>
      <c r="D44" s="245">
        <v>11.444444444444443</v>
      </c>
      <c r="E44" s="245">
        <f t="shared" ref="E44:E70" si="1">SUM(C44+D44)/2</f>
        <v>10.277777777777779</v>
      </c>
      <c r="F44" s="353"/>
      <c r="G44" s="353"/>
      <c r="H44" s="84"/>
    </row>
    <row r="45" spans="1:8" ht="18.75" x14ac:dyDescent="0.3">
      <c r="A45" s="319" t="s">
        <v>1088</v>
      </c>
      <c r="B45" s="356" t="s">
        <v>547</v>
      </c>
      <c r="C45" s="344">
        <v>9.8555555555555561</v>
      </c>
      <c r="D45" s="245">
        <v>10.68888888888889</v>
      </c>
      <c r="E45" s="245">
        <f t="shared" si="1"/>
        <v>10.272222222222222</v>
      </c>
      <c r="F45" s="353"/>
      <c r="G45" s="353"/>
      <c r="H45" s="84"/>
    </row>
    <row r="46" spans="1:8" ht="18.75" x14ac:dyDescent="0.3">
      <c r="A46" s="319" t="s">
        <v>1089</v>
      </c>
      <c r="B46" s="356" t="s">
        <v>577</v>
      </c>
      <c r="C46" s="344">
        <v>9.7444444444444454</v>
      </c>
      <c r="D46" s="245">
        <v>10.522222222222224</v>
      </c>
      <c r="E46" s="245">
        <f t="shared" si="1"/>
        <v>10.133333333333335</v>
      </c>
      <c r="F46" s="353"/>
      <c r="G46" s="353"/>
      <c r="H46" s="84"/>
    </row>
    <row r="47" spans="1:8" ht="18.75" x14ac:dyDescent="0.3">
      <c r="A47" s="319" t="s">
        <v>1090</v>
      </c>
      <c r="B47" s="358" t="s">
        <v>584</v>
      </c>
      <c r="C47" s="344">
        <v>9.5333333333333332</v>
      </c>
      <c r="D47" s="245">
        <v>10.700000000000001</v>
      </c>
      <c r="E47" s="245">
        <f t="shared" si="1"/>
        <v>10.116666666666667</v>
      </c>
      <c r="F47" s="353"/>
      <c r="G47" s="353"/>
      <c r="H47" s="84"/>
    </row>
    <row r="48" spans="1:8" ht="28.5" customHeight="1" x14ac:dyDescent="0.3">
      <c r="A48" s="319" t="s">
        <v>1091</v>
      </c>
      <c r="B48" s="366" t="s">
        <v>1231</v>
      </c>
      <c r="C48" s="344">
        <v>9.0333333333333332</v>
      </c>
      <c r="D48" s="245">
        <v>11.088888888888889</v>
      </c>
      <c r="E48" s="245">
        <f t="shared" si="1"/>
        <v>10.06111111111111</v>
      </c>
      <c r="F48" s="353"/>
      <c r="G48" s="353"/>
      <c r="H48" s="84"/>
    </row>
    <row r="49" spans="1:8" ht="18.75" x14ac:dyDescent="0.3">
      <c r="A49" s="319" t="s">
        <v>1092</v>
      </c>
      <c r="B49" s="356" t="s">
        <v>564</v>
      </c>
      <c r="C49" s="344">
        <v>10.055555555555555</v>
      </c>
      <c r="D49" s="245">
        <v>9.9222222222222225</v>
      </c>
      <c r="E49" s="245">
        <f t="shared" si="1"/>
        <v>9.9888888888888889</v>
      </c>
      <c r="F49" s="353"/>
      <c r="G49" s="353"/>
      <c r="H49" s="84"/>
    </row>
    <row r="50" spans="1:8" ht="18" x14ac:dyDescent="0.25">
      <c r="A50" s="319" t="s">
        <v>1093</v>
      </c>
      <c r="B50" s="356" t="s">
        <v>545</v>
      </c>
      <c r="C50" s="245">
        <v>10.011111111111111</v>
      </c>
      <c r="D50" s="245">
        <v>9.8666666666666671</v>
      </c>
      <c r="E50" s="245">
        <f t="shared" si="1"/>
        <v>9.93888888888889</v>
      </c>
      <c r="F50" s="353"/>
      <c r="G50" s="353"/>
      <c r="H50" s="84"/>
    </row>
    <row r="51" spans="1:8" ht="18.75" x14ac:dyDescent="0.3">
      <c r="A51" s="319" t="s">
        <v>1094</v>
      </c>
      <c r="B51" s="356" t="s">
        <v>566</v>
      </c>
      <c r="C51" s="344">
        <v>9.1333333333333329</v>
      </c>
      <c r="D51" s="245">
        <v>9.7999999999999989</v>
      </c>
      <c r="E51" s="245">
        <f t="shared" si="1"/>
        <v>9.466666666666665</v>
      </c>
      <c r="F51" s="353"/>
      <c r="G51" s="353"/>
      <c r="H51" s="84"/>
    </row>
    <row r="52" spans="1:8" ht="18.75" x14ac:dyDescent="0.3">
      <c r="A52" s="319" t="s">
        <v>1095</v>
      </c>
      <c r="B52" s="356" t="s">
        <v>586</v>
      </c>
      <c r="C52" s="344">
        <v>9.1555555555555568</v>
      </c>
      <c r="D52" s="245">
        <v>9.7444444444444454</v>
      </c>
      <c r="E52" s="245">
        <f t="shared" si="1"/>
        <v>9.4500000000000011</v>
      </c>
      <c r="F52" s="353"/>
      <c r="G52" s="353"/>
      <c r="H52" s="84"/>
    </row>
    <row r="53" spans="1:8" ht="18.75" x14ac:dyDescent="0.3">
      <c r="A53" s="319" t="s">
        <v>1096</v>
      </c>
      <c r="B53" s="356" t="s">
        <v>550</v>
      </c>
      <c r="C53" s="344">
        <v>8.8666666666666671</v>
      </c>
      <c r="D53" s="245">
        <v>10.022222222222224</v>
      </c>
      <c r="E53" s="245">
        <f t="shared" si="1"/>
        <v>9.4444444444444464</v>
      </c>
      <c r="F53" s="353"/>
      <c r="G53" s="353"/>
      <c r="H53" s="84"/>
    </row>
    <row r="54" spans="1:8" ht="24" customHeight="1" x14ac:dyDescent="0.3">
      <c r="A54" s="319" t="s">
        <v>1097</v>
      </c>
      <c r="B54" s="356" t="s">
        <v>555</v>
      </c>
      <c r="C54" s="344">
        <v>9.2111111111111104</v>
      </c>
      <c r="D54" s="245">
        <v>9.5555555555555554</v>
      </c>
      <c r="E54" s="245">
        <f t="shared" si="1"/>
        <v>9.3833333333333329</v>
      </c>
      <c r="F54" s="353"/>
      <c r="G54" s="353"/>
      <c r="H54" s="84"/>
    </row>
    <row r="55" spans="1:8" ht="18.75" x14ac:dyDescent="0.3">
      <c r="A55" s="319" t="s">
        <v>1098</v>
      </c>
      <c r="B55" s="356" t="s">
        <v>587</v>
      </c>
      <c r="C55" s="344">
        <v>8.2999999999999989</v>
      </c>
      <c r="D55" s="245">
        <v>9.7111111111111104</v>
      </c>
      <c r="E55" s="245">
        <f t="shared" si="1"/>
        <v>9.0055555555555546</v>
      </c>
      <c r="F55" s="353"/>
      <c r="G55" s="353"/>
      <c r="H55" s="84"/>
    </row>
    <row r="56" spans="1:8" ht="26.25" customHeight="1" x14ac:dyDescent="0.3">
      <c r="A56" s="319" t="s">
        <v>1099</v>
      </c>
      <c r="B56" s="356" t="s">
        <v>556</v>
      </c>
      <c r="C56" s="344">
        <v>8.4</v>
      </c>
      <c r="D56" s="245">
        <v>9.5333333333333332</v>
      </c>
      <c r="E56" s="245">
        <f t="shared" si="1"/>
        <v>8.9666666666666668</v>
      </c>
      <c r="F56" s="353"/>
      <c r="G56" s="353"/>
      <c r="H56" s="84"/>
    </row>
    <row r="57" spans="1:8" ht="28.5" customHeight="1" x14ac:dyDescent="0.3">
      <c r="A57" s="319" t="s">
        <v>1100</v>
      </c>
      <c r="B57" s="356" t="s">
        <v>573</v>
      </c>
      <c r="C57" s="344">
        <v>9.1444444444444439</v>
      </c>
      <c r="D57" s="245">
        <v>8.7333333333333325</v>
      </c>
      <c r="E57" s="245">
        <f t="shared" si="1"/>
        <v>8.9388888888888882</v>
      </c>
      <c r="F57" s="353"/>
      <c r="G57" s="353"/>
      <c r="H57" s="84"/>
    </row>
    <row r="58" spans="1:8" ht="18.75" x14ac:dyDescent="0.3">
      <c r="A58" s="319" t="s">
        <v>1101</v>
      </c>
      <c r="B58" s="358" t="s">
        <v>574</v>
      </c>
      <c r="C58" s="344">
        <v>8.1666666666666661</v>
      </c>
      <c r="D58" s="245">
        <v>9.3888888888888893</v>
      </c>
      <c r="E58" s="245">
        <f t="shared" si="1"/>
        <v>8.7777777777777786</v>
      </c>
      <c r="F58" s="353"/>
      <c r="G58" s="353"/>
      <c r="H58" s="84"/>
    </row>
    <row r="59" spans="1:8" ht="18.75" x14ac:dyDescent="0.3">
      <c r="A59" s="319" t="s">
        <v>1102</v>
      </c>
      <c r="B59" s="356" t="s">
        <v>549</v>
      </c>
      <c r="C59" s="344">
        <v>7.9333333333333336</v>
      </c>
      <c r="D59" s="245">
        <v>8.8888888888888893</v>
      </c>
      <c r="E59" s="245">
        <f t="shared" si="1"/>
        <v>8.4111111111111114</v>
      </c>
      <c r="F59" s="353"/>
      <c r="G59" s="353"/>
      <c r="H59" s="84"/>
    </row>
    <row r="60" spans="1:8" ht="26.25" customHeight="1" x14ac:dyDescent="0.3">
      <c r="A60" s="319" t="s">
        <v>1103</v>
      </c>
      <c r="B60" s="356" t="s">
        <v>581</v>
      </c>
      <c r="C60" s="344">
        <v>9.4777777777777761</v>
      </c>
      <c r="D60" s="245">
        <v>7.3222222222222229</v>
      </c>
      <c r="E60" s="245">
        <f t="shared" si="1"/>
        <v>8.3999999999999986</v>
      </c>
      <c r="F60" s="353"/>
      <c r="G60" s="353"/>
      <c r="H60" s="192"/>
    </row>
    <row r="61" spans="1:8" ht="18.75" x14ac:dyDescent="0.3">
      <c r="A61" s="319" t="s">
        <v>1104</v>
      </c>
      <c r="B61" s="356" t="s">
        <v>599</v>
      </c>
      <c r="C61" s="344">
        <v>8.2222222222222214</v>
      </c>
      <c r="D61" s="245">
        <v>8.1888888888888882</v>
      </c>
      <c r="E61" s="245">
        <f t="shared" si="1"/>
        <v>8.2055555555555557</v>
      </c>
      <c r="F61" s="353"/>
      <c r="G61" s="353"/>
      <c r="H61" s="192"/>
    </row>
    <row r="62" spans="1:8" ht="18.75" x14ac:dyDescent="0.3">
      <c r="A62" s="319" t="s">
        <v>1105</v>
      </c>
      <c r="B62" s="356" t="s">
        <v>552</v>
      </c>
      <c r="C62" s="344">
        <v>10.644444444444444</v>
      </c>
      <c r="D62" s="245">
        <v>5.7222222222222223</v>
      </c>
      <c r="E62" s="245">
        <f t="shared" si="1"/>
        <v>8.1833333333333336</v>
      </c>
      <c r="F62" s="353"/>
      <c r="G62" s="353"/>
      <c r="H62" s="192"/>
    </row>
    <row r="63" spans="1:8" ht="18.75" x14ac:dyDescent="0.3">
      <c r="A63" s="319" t="s">
        <v>1106</v>
      </c>
      <c r="B63" s="358" t="s">
        <v>593</v>
      </c>
      <c r="C63" s="344">
        <v>7.1333333333333329</v>
      </c>
      <c r="D63" s="245">
        <v>7.3999999999999995</v>
      </c>
      <c r="E63" s="245">
        <f t="shared" si="1"/>
        <v>7.2666666666666657</v>
      </c>
      <c r="F63" s="353"/>
      <c r="G63" s="353"/>
      <c r="H63" s="192"/>
    </row>
    <row r="64" spans="1:8" ht="18.75" x14ac:dyDescent="0.3">
      <c r="A64" s="319" t="s">
        <v>1107</v>
      </c>
      <c r="B64" s="358" t="s">
        <v>583</v>
      </c>
      <c r="C64" s="344">
        <v>6.5111111111111102</v>
      </c>
      <c r="D64" s="245">
        <v>7.4555555555555557</v>
      </c>
      <c r="E64" s="245">
        <f t="shared" si="1"/>
        <v>6.9833333333333325</v>
      </c>
      <c r="F64" s="353"/>
      <c r="G64" s="353"/>
      <c r="H64" s="192"/>
    </row>
    <row r="65" spans="1:9" ht="18.75" x14ac:dyDescent="0.3">
      <c r="A65" s="319" t="s">
        <v>1108</v>
      </c>
      <c r="B65" s="356" t="s">
        <v>602</v>
      </c>
      <c r="C65" s="344">
        <v>6.4555555555555557</v>
      </c>
      <c r="D65" s="245">
        <v>6.8444444444444441</v>
      </c>
      <c r="E65" s="245">
        <f t="shared" si="1"/>
        <v>6.65</v>
      </c>
      <c r="F65" s="353"/>
      <c r="G65" s="353"/>
      <c r="H65" s="192"/>
    </row>
    <row r="66" spans="1:9" ht="24" customHeight="1" x14ac:dyDescent="0.3">
      <c r="A66" s="319" t="s">
        <v>1109</v>
      </c>
      <c r="B66" s="356" t="s">
        <v>594</v>
      </c>
      <c r="C66" s="344">
        <v>5.3999999999999995</v>
      </c>
      <c r="D66" s="245">
        <v>5.2333333333333334</v>
      </c>
      <c r="E66" s="245">
        <f t="shared" si="1"/>
        <v>5.3166666666666664</v>
      </c>
      <c r="F66" s="353"/>
      <c r="G66" s="353"/>
      <c r="H66" s="192"/>
    </row>
    <row r="67" spans="1:9" ht="18.75" x14ac:dyDescent="0.3">
      <c r="A67" s="319" t="s">
        <v>1110</v>
      </c>
      <c r="B67" s="356" t="s">
        <v>590</v>
      </c>
      <c r="C67" s="344">
        <v>3.3666666666666667</v>
      </c>
      <c r="D67" s="245">
        <v>3.4222222222222221</v>
      </c>
      <c r="E67" s="245">
        <f t="shared" si="1"/>
        <v>3.3944444444444444</v>
      </c>
      <c r="F67" s="353"/>
      <c r="G67" s="353"/>
      <c r="H67" s="84"/>
    </row>
    <row r="68" spans="1:9" ht="18.75" x14ac:dyDescent="0.3">
      <c r="A68" s="319" t="s">
        <v>1111</v>
      </c>
      <c r="B68" s="356" t="s">
        <v>560</v>
      </c>
      <c r="C68" s="344">
        <v>3.7555555555555551</v>
      </c>
      <c r="D68" s="245">
        <v>2.2777777777777781</v>
      </c>
      <c r="E68" s="245">
        <f t="shared" si="1"/>
        <v>3.0166666666666666</v>
      </c>
      <c r="F68" s="353"/>
      <c r="G68" s="353"/>
      <c r="H68" s="84"/>
    </row>
    <row r="69" spans="1:9" ht="25.5" customHeight="1" x14ac:dyDescent="0.3">
      <c r="A69" s="319" t="s">
        <v>1112</v>
      </c>
      <c r="B69" s="358" t="s">
        <v>572</v>
      </c>
      <c r="C69" s="344">
        <v>2.5666666666666669</v>
      </c>
      <c r="D69" s="245">
        <v>1.8777777777777775</v>
      </c>
      <c r="E69" s="245">
        <f t="shared" si="1"/>
        <v>2.2222222222222223</v>
      </c>
      <c r="F69" s="353"/>
      <c r="G69" s="353"/>
      <c r="H69" s="192"/>
    </row>
    <row r="70" spans="1:9" ht="18.75" x14ac:dyDescent="0.3">
      <c r="A70" s="319" t="s">
        <v>1113</v>
      </c>
      <c r="B70" s="366" t="s">
        <v>1229</v>
      </c>
      <c r="C70" s="344">
        <v>2.4555555555555557</v>
      </c>
      <c r="D70" s="245">
        <v>1.8111111111111111</v>
      </c>
      <c r="E70" s="245">
        <f t="shared" si="1"/>
        <v>2.1333333333333333</v>
      </c>
      <c r="F70" s="353"/>
      <c r="G70" s="353"/>
      <c r="H70" s="192"/>
    </row>
    <row r="71" spans="1:9" ht="18" x14ac:dyDescent="0.25">
      <c r="A71" s="355"/>
      <c r="B71" s="360"/>
      <c r="C71" s="360"/>
      <c r="D71" s="360"/>
      <c r="E71" s="360"/>
      <c r="F71" s="353"/>
      <c r="G71" s="353"/>
      <c r="H71" s="192"/>
    </row>
    <row r="72" spans="1:9" ht="18" x14ac:dyDescent="0.25">
      <c r="A72" s="353"/>
      <c r="B72" s="361" t="s">
        <v>392</v>
      </c>
      <c r="C72" s="361"/>
      <c r="D72" s="361"/>
      <c r="E72" s="361"/>
      <c r="F72" s="353"/>
      <c r="G72" s="353"/>
      <c r="H72" s="192"/>
    </row>
    <row r="73" spans="1:9" ht="18" x14ac:dyDescent="0.25">
      <c r="A73" s="353"/>
      <c r="B73" s="353"/>
      <c r="C73" s="353"/>
      <c r="D73" s="353"/>
      <c r="E73" s="353"/>
      <c r="F73" s="353"/>
      <c r="G73" s="353"/>
      <c r="H73" s="192"/>
    </row>
    <row r="74" spans="1:9" ht="18" x14ac:dyDescent="0.25">
      <c r="A74" s="353"/>
      <c r="B74" s="355"/>
      <c r="C74" s="273" t="s">
        <v>393</v>
      </c>
      <c r="D74" s="273" t="s">
        <v>394</v>
      </c>
      <c r="E74" s="273" t="s">
        <v>395</v>
      </c>
      <c r="F74" s="353"/>
      <c r="G74" s="353"/>
      <c r="H74" s="192"/>
    </row>
    <row r="75" spans="1:9" ht="18" x14ac:dyDescent="0.25">
      <c r="A75" s="353"/>
      <c r="B75" s="362" t="s">
        <v>396</v>
      </c>
      <c r="C75" s="273">
        <v>35</v>
      </c>
      <c r="D75" s="273">
        <v>24</v>
      </c>
      <c r="E75" s="273">
        <v>59</v>
      </c>
      <c r="F75" s="353"/>
      <c r="G75" s="353"/>
      <c r="H75" s="192"/>
    </row>
    <row r="76" spans="1:9" ht="18" x14ac:dyDescent="0.25">
      <c r="A76" s="353"/>
      <c r="B76" s="318" t="s">
        <v>397</v>
      </c>
      <c r="C76" s="273">
        <v>35</v>
      </c>
      <c r="D76" s="273">
        <v>24</v>
      </c>
      <c r="E76" s="273">
        <v>59</v>
      </c>
      <c r="F76" s="353"/>
      <c r="G76" s="353"/>
      <c r="H76" s="84"/>
    </row>
    <row r="77" spans="1:9" ht="18" x14ac:dyDescent="0.25">
      <c r="A77" s="353"/>
      <c r="B77" s="318" t="s">
        <v>398</v>
      </c>
      <c r="C77" s="273">
        <v>0</v>
      </c>
      <c r="D77" s="273">
        <v>0</v>
      </c>
      <c r="E77" s="273">
        <v>0</v>
      </c>
      <c r="F77" s="353"/>
      <c r="G77" s="353"/>
      <c r="H77" s="84"/>
    </row>
    <row r="78" spans="1:9" ht="18" x14ac:dyDescent="0.25">
      <c r="A78" s="353"/>
      <c r="B78" s="318" t="s">
        <v>399</v>
      </c>
      <c r="C78" s="273">
        <v>20</v>
      </c>
      <c r="D78" s="273">
        <v>17</v>
      </c>
      <c r="E78" s="273">
        <v>37</v>
      </c>
      <c r="F78" s="353"/>
      <c r="G78" s="353"/>
      <c r="H78" s="192"/>
    </row>
    <row r="79" spans="1:9" ht="18" x14ac:dyDescent="0.25">
      <c r="A79" s="353"/>
      <c r="B79" s="318" t="s">
        <v>400</v>
      </c>
      <c r="C79" s="273">
        <v>15</v>
      </c>
      <c r="D79" s="273">
        <v>7</v>
      </c>
      <c r="E79" s="273">
        <v>22</v>
      </c>
      <c r="F79" s="353"/>
      <c r="G79" s="353"/>
      <c r="H79" s="192"/>
      <c r="I79" s="190"/>
    </row>
    <row r="80" spans="1:9" ht="18" x14ac:dyDescent="0.25">
      <c r="A80" s="353"/>
      <c r="B80" s="318" t="s">
        <v>401</v>
      </c>
      <c r="C80" s="274">
        <f>+C78/C75</f>
        <v>0.5714285714285714</v>
      </c>
      <c r="D80" s="274">
        <f>+D78/D75</f>
        <v>0.70833333333333337</v>
      </c>
      <c r="E80" s="274">
        <f>+E78/E75</f>
        <v>0.6271186440677966</v>
      </c>
      <c r="F80" s="353"/>
      <c r="G80" s="353"/>
      <c r="H80" s="192"/>
      <c r="I80" s="190"/>
    </row>
    <row r="81" spans="1:9" ht="18.75" customHeight="1" x14ac:dyDescent="0.3">
      <c r="A81" s="363"/>
      <c r="B81" s="363"/>
      <c r="C81" s="363"/>
      <c r="D81" s="363"/>
      <c r="E81" s="363"/>
      <c r="F81" s="353"/>
      <c r="G81" s="353"/>
      <c r="H81" s="192"/>
      <c r="I81" s="190"/>
    </row>
    <row r="82" spans="1:9" ht="18.75" x14ac:dyDescent="0.3">
      <c r="A82" s="271"/>
      <c r="B82" s="271"/>
      <c r="C82" s="338"/>
      <c r="D82" s="283" t="s">
        <v>1054</v>
      </c>
      <c r="E82" s="283"/>
      <c r="F82" s="271"/>
      <c r="G82" s="353"/>
      <c r="H82" s="192"/>
      <c r="I82" s="190"/>
    </row>
    <row r="83" spans="1:9" ht="18" x14ac:dyDescent="0.25">
      <c r="A83" s="271"/>
      <c r="B83" s="271"/>
      <c r="C83" s="271"/>
      <c r="D83" s="271"/>
      <c r="E83" s="271"/>
      <c r="F83" s="353"/>
      <c r="G83" s="353"/>
      <c r="H83" s="192"/>
      <c r="I83" s="190"/>
    </row>
    <row r="84" spans="1:9" ht="18.75" x14ac:dyDescent="0.3">
      <c r="A84" s="258"/>
      <c r="B84" s="258" t="s">
        <v>1053</v>
      </c>
      <c r="C84" s="272"/>
      <c r="D84" s="283" t="s">
        <v>404</v>
      </c>
      <c r="E84" s="283"/>
      <c r="F84" s="353"/>
      <c r="G84" s="353"/>
      <c r="H84" s="192"/>
      <c r="I84" s="190"/>
    </row>
    <row r="85" spans="1:9" ht="18" x14ac:dyDescent="0.25">
      <c r="A85" s="272"/>
      <c r="B85" s="272"/>
      <c r="C85" s="272"/>
      <c r="D85" s="272"/>
      <c r="E85" s="272"/>
      <c r="F85" s="353"/>
      <c r="G85" s="353"/>
      <c r="H85" s="192"/>
      <c r="I85" s="190"/>
    </row>
    <row r="86" spans="1:9" ht="18" x14ac:dyDescent="0.25">
      <c r="A86" s="272"/>
      <c r="B86" s="272"/>
      <c r="C86" s="272"/>
      <c r="D86" s="272"/>
      <c r="E86" s="272"/>
      <c r="F86" s="353"/>
      <c r="G86" s="353"/>
      <c r="H86" s="192"/>
    </row>
    <row r="87" spans="1:9" ht="18" x14ac:dyDescent="0.25">
      <c r="A87" s="272"/>
      <c r="B87" s="272"/>
      <c r="C87" s="272"/>
      <c r="D87" s="272"/>
      <c r="E87" s="272"/>
      <c r="F87" s="353"/>
      <c r="G87" s="353"/>
      <c r="H87" s="192"/>
    </row>
    <row r="88" spans="1:9" ht="18" x14ac:dyDescent="0.25">
      <c r="A88" s="272" t="s">
        <v>1052</v>
      </c>
      <c r="B88" s="272"/>
      <c r="C88" s="272"/>
      <c r="D88" s="283" t="s">
        <v>1055</v>
      </c>
      <c r="E88" s="283"/>
      <c r="F88" s="353"/>
      <c r="G88" s="353"/>
      <c r="H88" s="192"/>
    </row>
    <row r="89" spans="1:9" ht="16.5" x14ac:dyDescent="0.3">
      <c r="A89" s="252"/>
      <c r="B89" s="259"/>
      <c r="C89" s="259"/>
      <c r="D89" s="259"/>
      <c r="E89" s="259"/>
      <c r="F89" s="84"/>
      <c r="G89" s="84"/>
      <c r="H89" s="192"/>
    </row>
    <row r="90" spans="1:9" x14ac:dyDescent="0.25">
      <c r="F90" s="84"/>
      <c r="G90" s="84"/>
      <c r="H90" s="192"/>
    </row>
    <row r="91" spans="1:9" ht="16.5" x14ac:dyDescent="0.3">
      <c r="C91" s="251"/>
      <c r="D91" s="298"/>
      <c r="E91" s="298"/>
      <c r="F91" s="84"/>
      <c r="G91" s="84"/>
      <c r="H91" s="192"/>
    </row>
    <row r="92" spans="1:9" x14ac:dyDescent="0.25">
      <c r="F92" s="84"/>
      <c r="G92" s="84"/>
      <c r="H92" s="192"/>
    </row>
    <row r="93" spans="1:9" x14ac:dyDescent="0.25">
      <c r="F93" s="84"/>
      <c r="G93" s="84"/>
      <c r="H93" s="192"/>
    </row>
    <row r="94" spans="1:9" x14ac:dyDescent="0.25">
      <c r="F94" s="84"/>
      <c r="G94" s="84"/>
      <c r="H94" s="192"/>
    </row>
    <row r="95" spans="1:9" x14ac:dyDescent="0.25">
      <c r="F95" s="84"/>
      <c r="G95" s="84"/>
      <c r="H95" s="192"/>
    </row>
    <row r="96" spans="1:9" x14ac:dyDescent="0.25">
      <c r="F96" s="84"/>
      <c r="G96" s="84"/>
      <c r="H96" s="192"/>
    </row>
    <row r="97" spans="6:8" x14ac:dyDescent="0.25">
      <c r="F97" s="84"/>
      <c r="G97" s="84"/>
      <c r="H97" s="192"/>
    </row>
    <row r="98" spans="6:8" x14ac:dyDescent="0.25">
      <c r="F98" s="84"/>
      <c r="G98" s="84"/>
      <c r="H98" s="192"/>
    </row>
    <row r="99" spans="6:8" x14ac:dyDescent="0.25">
      <c r="F99" s="84"/>
      <c r="G99" s="84"/>
      <c r="H99" s="192"/>
    </row>
    <row r="100" spans="6:8" x14ac:dyDescent="0.25">
      <c r="F100" s="84"/>
      <c r="G100" s="84"/>
      <c r="H100" s="84"/>
    </row>
    <row r="101" spans="6:8" x14ac:dyDescent="0.25">
      <c r="F101" s="84"/>
      <c r="G101" s="84"/>
      <c r="H101" s="84"/>
    </row>
    <row r="102" spans="6:8" x14ac:dyDescent="0.25">
      <c r="F102" s="84"/>
      <c r="G102" s="84"/>
      <c r="H102" s="84"/>
    </row>
    <row r="103" spans="6:8" x14ac:dyDescent="0.25">
      <c r="F103" s="84"/>
      <c r="G103" s="84"/>
      <c r="H103" s="84"/>
    </row>
    <row r="104" spans="6:8" x14ac:dyDescent="0.25">
      <c r="F104" s="84"/>
      <c r="G104" s="84"/>
      <c r="H104" s="84"/>
    </row>
    <row r="105" spans="6:8" x14ac:dyDescent="0.25">
      <c r="F105" s="84"/>
      <c r="G105" s="84"/>
      <c r="H105" s="84"/>
    </row>
    <row r="106" spans="6:8" x14ac:dyDescent="0.25">
      <c r="F106" s="84"/>
      <c r="G106" s="84"/>
      <c r="H106" s="84"/>
    </row>
    <row r="107" spans="6:8" x14ac:dyDescent="0.25">
      <c r="F107" s="79"/>
      <c r="G107" s="79"/>
      <c r="H107" s="79"/>
    </row>
    <row r="108" spans="6:8" x14ac:dyDescent="0.25">
      <c r="F108" s="86"/>
      <c r="G108" s="86"/>
      <c r="H108" s="86"/>
    </row>
    <row r="109" spans="6:8" x14ac:dyDescent="0.25">
      <c r="F109" s="86"/>
      <c r="G109" s="86"/>
      <c r="H109" s="86"/>
    </row>
    <row r="110" spans="6:8" x14ac:dyDescent="0.25">
      <c r="F110" s="86"/>
      <c r="G110" s="86"/>
      <c r="H110" s="86"/>
    </row>
    <row r="111" spans="6:8" x14ac:dyDescent="0.25">
      <c r="F111" s="86"/>
      <c r="G111" s="86"/>
      <c r="H111" s="86"/>
    </row>
    <row r="112" spans="6:8" x14ac:dyDescent="0.25">
      <c r="F112" s="86"/>
      <c r="G112" s="86"/>
      <c r="H112" s="86"/>
    </row>
    <row r="113" spans="6:8" x14ac:dyDescent="0.25">
      <c r="F113" s="86"/>
      <c r="G113" s="86"/>
      <c r="H113" s="86"/>
    </row>
    <row r="114" spans="6:8" x14ac:dyDescent="0.25">
      <c r="F114" s="86"/>
      <c r="G114" s="86"/>
      <c r="H114" s="86"/>
    </row>
    <row r="115" spans="6:8" x14ac:dyDescent="0.25">
      <c r="F115" s="86"/>
      <c r="G115" s="86"/>
      <c r="H115" s="86"/>
    </row>
    <row r="116" spans="6:8" x14ac:dyDescent="0.25">
      <c r="F116" s="86"/>
      <c r="G116" s="86"/>
      <c r="H116" s="86"/>
    </row>
    <row r="117" spans="6:8" x14ac:dyDescent="0.25">
      <c r="F117" s="86"/>
      <c r="G117" s="86"/>
      <c r="H117" s="86"/>
    </row>
    <row r="118" spans="6:8" ht="16.5" x14ac:dyDescent="0.3">
      <c r="F118" s="76"/>
      <c r="G118" s="292"/>
      <c r="H118" s="292"/>
    </row>
    <row r="119" spans="6:8" ht="16.5" x14ac:dyDescent="0.3">
      <c r="F119" s="76"/>
      <c r="G119" s="76"/>
      <c r="H119" s="76"/>
    </row>
    <row r="120" spans="6:8" ht="16.5" x14ac:dyDescent="0.3">
      <c r="F120" s="76"/>
      <c r="G120" s="292"/>
      <c r="H120" s="292"/>
    </row>
    <row r="121" spans="6:8" ht="16.5" x14ac:dyDescent="0.3">
      <c r="F121" s="76"/>
      <c r="G121" s="76"/>
      <c r="H121" s="76"/>
    </row>
    <row r="122" spans="6:8" ht="16.5" x14ac:dyDescent="0.3">
      <c r="F122" s="76"/>
      <c r="G122" s="76"/>
      <c r="H122" s="76"/>
    </row>
    <row r="123" spans="6:8" ht="16.5" x14ac:dyDescent="0.3">
      <c r="F123" s="76"/>
      <c r="G123" s="76"/>
      <c r="H123" s="76"/>
    </row>
    <row r="124" spans="6:8" ht="16.5" x14ac:dyDescent="0.3">
      <c r="F124" s="76"/>
      <c r="G124" s="292"/>
      <c r="H124" s="292"/>
    </row>
    <row r="125" spans="6:8" ht="16.5" x14ac:dyDescent="0.3">
      <c r="F125" s="76"/>
      <c r="G125" s="76"/>
      <c r="H125" s="76"/>
    </row>
  </sheetData>
  <sortState ref="B12:E70">
    <sortCondition descending="1" ref="E12:E70"/>
  </sortState>
  <mergeCells count="18">
    <mergeCell ref="G120:H120"/>
    <mergeCell ref="G124:H124"/>
    <mergeCell ref="B72:E72"/>
    <mergeCell ref="B9:E9"/>
    <mergeCell ref="A7:G8"/>
    <mergeCell ref="A10:A11"/>
    <mergeCell ref="B10:B11"/>
    <mergeCell ref="C10:C11"/>
    <mergeCell ref="D10:D11"/>
    <mergeCell ref="E10:E11"/>
    <mergeCell ref="D91:E91"/>
    <mergeCell ref="D84:E84"/>
    <mergeCell ref="D88:E88"/>
    <mergeCell ref="D82:E82"/>
    <mergeCell ref="G118:H118"/>
    <mergeCell ref="C2:E2"/>
    <mergeCell ref="B5:G5"/>
    <mergeCell ref="C6:G6"/>
  </mergeCells>
  <printOptions horizontalCentered="1"/>
  <pageMargins left="0.70866141732283472" right="0.70866141732283472" top="0.74803149606299213" bottom="0.74803149606299213" header="0.31496062992125984" footer="0.31496062992125984"/>
  <pageSetup scale="8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H126"/>
  <sheetViews>
    <sheetView topLeftCell="A63" zoomScaleNormal="100" workbookViewId="0">
      <selection activeCell="B94" sqref="B94"/>
    </sheetView>
  </sheetViews>
  <sheetFormatPr baseColWidth="10" defaultColWidth="11.42578125" defaultRowHeight="16.5" x14ac:dyDescent="0.3"/>
  <cols>
    <col min="1" max="1" width="4.28515625" style="2" customWidth="1"/>
    <col min="2" max="2" width="34" style="4" customWidth="1"/>
    <col min="3" max="3" width="11" style="2" customWidth="1"/>
    <col min="4" max="4" width="12.5703125" style="2" customWidth="1"/>
    <col min="5" max="5" width="13" style="2" customWidth="1"/>
    <col min="6" max="16384" width="11.42578125" style="2"/>
  </cols>
  <sheetData>
    <row r="1" spans="1:7" ht="20.25" x14ac:dyDescent="0.3">
      <c r="A1" s="1" t="s">
        <v>929</v>
      </c>
      <c r="B1" s="6"/>
      <c r="C1" s="31" t="s">
        <v>5</v>
      </c>
      <c r="D1" s="31"/>
      <c r="E1" s="31"/>
    </row>
    <row r="2" spans="1:7" x14ac:dyDescent="0.3">
      <c r="A2" s="1" t="s">
        <v>930</v>
      </c>
      <c r="B2" s="6"/>
      <c r="C2" s="276" t="s">
        <v>6</v>
      </c>
      <c r="D2" s="276"/>
      <c r="E2" s="276"/>
    </row>
    <row r="3" spans="1:7" x14ac:dyDescent="0.3">
      <c r="A3" s="1" t="s">
        <v>931</v>
      </c>
      <c r="B3" s="6"/>
    </row>
    <row r="4" spans="1:7" x14ac:dyDescent="0.3">
      <c r="A4" s="1" t="s">
        <v>932</v>
      </c>
      <c r="B4" s="6"/>
      <c r="D4" s="3"/>
      <c r="E4" s="3"/>
    </row>
    <row r="5" spans="1:7" x14ac:dyDescent="0.3">
      <c r="B5" s="279" t="s">
        <v>934</v>
      </c>
      <c r="C5" s="279"/>
      <c r="D5" s="279"/>
      <c r="E5" s="279"/>
      <c r="F5" s="279"/>
      <c r="G5" s="279"/>
    </row>
    <row r="6" spans="1:7" ht="18" x14ac:dyDescent="0.3">
      <c r="B6" s="285" t="s">
        <v>390</v>
      </c>
      <c r="C6" s="285"/>
      <c r="D6" s="285"/>
      <c r="E6" s="285"/>
      <c r="F6" s="285"/>
      <c r="G6" s="285"/>
    </row>
    <row r="7" spans="1:7" x14ac:dyDescent="0.3">
      <c r="B7" s="280" t="s">
        <v>939</v>
      </c>
      <c r="C7" s="280"/>
      <c r="D7" s="280"/>
      <c r="E7" s="280"/>
      <c r="F7" s="280"/>
      <c r="G7" s="280"/>
    </row>
    <row r="8" spans="1:7" ht="17.25" customHeight="1" x14ac:dyDescent="0.3">
      <c r="B8" s="280"/>
      <c r="C8" s="280"/>
      <c r="D8" s="280"/>
      <c r="E8" s="280"/>
      <c r="F8" s="280"/>
      <c r="G8" s="280"/>
    </row>
    <row r="9" spans="1:7" ht="17.25" customHeight="1" x14ac:dyDescent="0.3">
      <c r="B9" s="277"/>
      <c r="C9" s="277"/>
      <c r="D9" s="277"/>
      <c r="E9" s="277"/>
    </row>
    <row r="10" spans="1:7" s="8" customFormat="1" ht="43.5" customHeight="1" x14ac:dyDescent="0.2">
      <c r="A10" s="30" t="s">
        <v>106</v>
      </c>
      <c r="B10" s="35" t="s">
        <v>0</v>
      </c>
      <c r="C10" s="35" t="s">
        <v>208</v>
      </c>
      <c r="D10" s="35" t="s">
        <v>209</v>
      </c>
      <c r="E10" s="35" t="s">
        <v>210</v>
      </c>
    </row>
    <row r="11" spans="1:7" s="5" customFormat="1" ht="18" x14ac:dyDescent="0.3">
      <c r="A11" s="10" t="s">
        <v>317</v>
      </c>
      <c r="B11" s="220" t="s">
        <v>640</v>
      </c>
      <c r="C11" s="223">
        <v>16.111111111111111</v>
      </c>
      <c r="D11" s="223">
        <v>15.545454545454545</v>
      </c>
      <c r="E11" s="222">
        <v>15.734006734006734</v>
      </c>
    </row>
    <row r="12" spans="1:7" s="5" customFormat="1" ht="18" x14ac:dyDescent="0.3">
      <c r="A12" s="10" t="s">
        <v>212</v>
      </c>
      <c r="B12" s="218" t="s">
        <v>635</v>
      </c>
      <c r="C12" s="223">
        <v>15.444444444444445</v>
      </c>
      <c r="D12" s="223">
        <v>13.727272727272727</v>
      </c>
      <c r="E12" s="222">
        <v>14.299663299663299</v>
      </c>
    </row>
    <row r="13" spans="1:7" s="5" customFormat="1" ht="17.25" customHeight="1" x14ac:dyDescent="0.3">
      <c r="A13" s="10" t="s">
        <v>213</v>
      </c>
      <c r="B13" s="218" t="s">
        <v>605</v>
      </c>
      <c r="C13" s="223">
        <v>13.777777777777779</v>
      </c>
      <c r="D13" s="223">
        <v>12</v>
      </c>
      <c r="E13" s="222">
        <v>12.592592592592593</v>
      </c>
    </row>
    <row r="14" spans="1:7" s="5" customFormat="1" ht="18" x14ac:dyDescent="0.3">
      <c r="A14" s="10" t="s">
        <v>214</v>
      </c>
      <c r="B14" s="218" t="s">
        <v>626</v>
      </c>
      <c r="C14" s="223">
        <v>13.777777777777779</v>
      </c>
      <c r="D14" s="226">
        <v>11.818181818181818</v>
      </c>
      <c r="E14" s="222">
        <v>12.471380471380471</v>
      </c>
    </row>
    <row r="15" spans="1:7" s="5" customFormat="1" ht="18" x14ac:dyDescent="0.3">
      <c r="A15" s="10" t="s">
        <v>215</v>
      </c>
      <c r="B15" s="218" t="s">
        <v>609</v>
      </c>
      <c r="C15" s="223">
        <v>13.777777777777779</v>
      </c>
      <c r="D15" s="223">
        <v>11.363636363636363</v>
      </c>
      <c r="E15" s="222">
        <v>12.168350168350168</v>
      </c>
    </row>
    <row r="16" spans="1:7" s="5" customFormat="1" ht="18" x14ac:dyDescent="0.3">
      <c r="A16" s="10" t="s">
        <v>216</v>
      </c>
      <c r="B16" s="218" t="s">
        <v>624</v>
      </c>
      <c r="C16" s="223">
        <v>13.333333333333334</v>
      </c>
      <c r="D16" s="223">
        <v>11.181818181818182</v>
      </c>
      <c r="E16" s="222">
        <v>11.898989898989898</v>
      </c>
    </row>
    <row r="17" spans="1:5" s="5" customFormat="1" ht="18" x14ac:dyDescent="0.3">
      <c r="A17" s="10" t="s">
        <v>217</v>
      </c>
      <c r="B17" s="218" t="s">
        <v>655</v>
      </c>
      <c r="C17" s="223">
        <v>12.555555555555555</v>
      </c>
      <c r="D17" s="223">
        <v>10.909090909090908</v>
      </c>
      <c r="E17" s="222">
        <v>11.457912457912457</v>
      </c>
    </row>
    <row r="18" spans="1:5" s="5" customFormat="1" ht="18" x14ac:dyDescent="0.3">
      <c r="A18" s="10" t="s">
        <v>218</v>
      </c>
      <c r="B18" s="218" t="s">
        <v>637</v>
      </c>
      <c r="C18" s="223">
        <v>12.888888888888889</v>
      </c>
      <c r="D18" s="223">
        <v>10.636363636363637</v>
      </c>
      <c r="E18" s="222">
        <v>11.387205387205389</v>
      </c>
    </row>
    <row r="19" spans="1:5" s="5" customFormat="1" ht="18" x14ac:dyDescent="0.3">
      <c r="A19" s="10" t="s">
        <v>219</v>
      </c>
      <c r="B19" s="218" t="s">
        <v>646</v>
      </c>
      <c r="C19" s="223">
        <v>12.777777777777779</v>
      </c>
      <c r="D19" s="223">
        <v>10.363636363636363</v>
      </c>
      <c r="E19" s="222">
        <v>11.168350168350168</v>
      </c>
    </row>
    <row r="20" spans="1:5" s="5" customFormat="1" ht="18" x14ac:dyDescent="0.3">
      <c r="A20" s="10" t="s">
        <v>220</v>
      </c>
      <c r="B20" s="218" t="s">
        <v>604</v>
      </c>
      <c r="C20" s="222">
        <v>12</v>
      </c>
      <c r="D20" s="223">
        <v>9.6363636363636367</v>
      </c>
      <c r="E20" s="223">
        <v>10.424242424242424</v>
      </c>
    </row>
    <row r="21" spans="1:5" s="5" customFormat="1" ht="18" x14ac:dyDescent="0.3">
      <c r="A21" s="10" t="s">
        <v>221</v>
      </c>
      <c r="B21" s="218" t="s">
        <v>608</v>
      </c>
      <c r="C21" s="223">
        <v>11.333333333333334</v>
      </c>
      <c r="D21" s="223">
        <v>9.3636363636363633</v>
      </c>
      <c r="E21" s="224">
        <v>10.020202020202021</v>
      </c>
    </row>
    <row r="22" spans="1:5" s="5" customFormat="1" ht="18" x14ac:dyDescent="0.3">
      <c r="A22" s="10" t="s">
        <v>222</v>
      </c>
      <c r="B22" s="218" t="s">
        <v>615</v>
      </c>
      <c r="C22" s="223">
        <v>12.111111111111111</v>
      </c>
      <c r="D22" s="223">
        <v>8.9090909090909083</v>
      </c>
      <c r="E22" s="222">
        <v>9.9764309764309758</v>
      </c>
    </row>
    <row r="23" spans="1:5" s="5" customFormat="1" ht="18" x14ac:dyDescent="0.3">
      <c r="A23" s="10" t="s">
        <v>223</v>
      </c>
      <c r="B23" s="218" t="s">
        <v>610</v>
      </c>
      <c r="C23" s="223">
        <v>11.888888888888889</v>
      </c>
      <c r="D23" s="223">
        <v>8.3636363636363633</v>
      </c>
      <c r="E23" s="222">
        <v>9.538720538720538</v>
      </c>
    </row>
    <row r="24" spans="1:5" s="5" customFormat="1" ht="18" x14ac:dyDescent="0.3">
      <c r="A24" s="10" t="s">
        <v>224</v>
      </c>
      <c r="B24" s="218" t="s">
        <v>642</v>
      </c>
      <c r="C24" s="223">
        <v>11.333333333333334</v>
      </c>
      <c r="D24" s="228">
        <v>8.2727272727272734</v>
      </c>
      <c r="E24" s="222">
        <v>9.2929292929292941</v>
      </c>
    </row>
    <row r="25" spans="1:5" s="5" customFormat="1" ht="18" x14ac:dyDescent="0.3">
      <c r="A25" s="10" t="s">
        <v>225</v>
      </c>
      <c r="B25" s="218" t="s">
        <v>643</v>
      </c>
      <c r="C25" s="223">
        <v>11.333333333333334</v>
      </c>
      <c r="D25" s="223">
        <v>8.2727272727272734</v>
      </c>
      <c r="E25" s="223">
        <v>9.2929292929292941</v>
      </c>
    </row>
    <row r="26" spans="1:5" s="5" customFormat="1" ht="18" x14ac:dyDescent="0.3">
      <c r="A26" s="10" t="s">
        <v>226</v>
      </c>
      <c r="B26" s="218" t="s">
        <v>629</v>
      </c>
      <c r="C26" s="223">
        <v>10.444444444444445</v>
      </c>
      <c r="D26" s="223">
        <v>8.3636363636363633</v>
      </c>
      <c r="E26" s="222">
        <v>9.0572390572390571</v>
      </c>
    </row>
    <row r="27" spans="1:5" s="5" customFormat="1" ht="18" x14ac:dyDescent="0.3">
      <c r="A27" s="10" t="s">
        <v>227</v>
      </c>
      <c r="B27" s="218" t="s">
        <v>638</v>
      </c>
      <c r="C27" s="223">
        <v>10.666666666666666</v>
      </c>
      <c r="D27" s="223">
        <v>8.0909090909090917</v>
      </c>
      <c r="E27" s="224">
        <v>8.9494949494949498</v>
      </c>
    </row>
    <row r="28" spans="1:5" s="5" customFormat="1" ht="18" x14ac:dyDescent="0.3">
      <c r="A28" s="10" t="s">
        <v>228</v>
      </c>
      <c r="B28" s="218" t="s">
        <v>647</v>
      </c>
      <c r="C28" s="223">
        <v>11.333333333333334</v>
      </c>
      <c r="D28" s="223">
        <v>7.7272727272727275</v>
      </c>
      <c r="E28" s="222">
        <v>8.9292929292929291</v>
      </c>
    </row>
    <row r="29" spans="1:5" s="5" customFormat="1" ht="18" x14ac:dyDescent="0.3">
      <c r="A29" s="10" t="s">
        <v>229</v>
      </c>
      <c r="B29" s="218" t="s">
        <v>648</v>
      </c>
      <c r="C29" s="228">
        <v>10.444444444444445</v>
      </c>
      <c r="D29" s="228">
        <v>7.7272727272727275</v>
      </c>
      <c r="E29" s="229">
        <v>8.6329966329966332</v>
      </c>
    </row>
    <row r="30" spans="1:5" s="5" customFormat="1" ht="18" x14ac:dyDescent="0.3">
      <c r="A30" s="10" t="s">
        <v>230</v>
      </c>
      <c r="B30" s="218" t="s">
        <v>631</v>
      </c>
      <c r="C30" s="223">
        <v>10.222222222222221</v>
      </c>
      <c r="D30" s="223">
        <v>7.6363636363636367</v>
      </c>
      <c r="E30" s="222">
        <v>8.4983164983164983</v>
      </c>
    </row>
    <row r="31" spans="1:5" s="5" customFormat="1" ht="18" x14ac:dyDescent="0.3">
      <c r="A31" s="10" t="s">
        <v>315</v>
      </c>
      <c r="B31" s="218" t="s">
        <v>644</v>
      </c>
      <c r="C31" s="223">
        <v>10.888888888888889</v>
      </c>
      <c r="D31" s="223">
        <v>7</v>
      </c>
      <c r="E31" s="223">
        <v>8.2962962962962958</v>
      </c>
    </row>
    <row r="32" spans="1:5" s="5" customFormat="1" ht="18" x14ac:dyDescent="0.3">
      <c r="A32" s="10" t="s">
        <v>232</v>
      </c>
      <c r="B32" s="218" t="s">
        <v>623</v>
      </c>
      <c r="C32" s="223">
        <v>9.7777777777777786</v>
      </c>
      <c r="D32" s="223">
        <v>7.2727272727272725</v>
      </c>
      <c r="E32" s="222">
        <v>8.107744107744109</v>
      </c>
    </row>
    <row r="33" spans="1:5" s="5" customFormat="1" ht="18" x14ac:dyDescent="0.3">
      <c r="A33" s="10" t="s">
        <v>233</v>
      </c>
      <c r="B33" s="219" t="s">
        <v>625</v>
      </c>
      <c r="C33" s="223">
        <v>9.7777777777777786</v>
      </c>
      <c r="D33" s="223">
        <v>7.1818181818181817</v>
      </c>
      <c r="E33" s="222">
        <v>8.0471380471380467</v>
      </c>
    </row>
    <row r="34" spans="1:5" s="11" customFormat="1" ht="18" x14ac:dyDescent="0.3">
      <c r="A34" s="10" t="s">
        <v>234</v>
      </c>
      <c r="B34" s="218" t="s">
        <v>611</v>
      </c>
      <c r="C34" s="223">
        <v>8.6666666666666661</v>
      </c>
      <c r="D34" s="223">
        <v>7.2727272727272725</v>
      </c>
      <c r="E34" s="222">
        <v>7.737373737373737</v>
      </c>
    </row>
    <row r="35" spans="1:5" s="5" customFormat="1" ht="18" x14ac:dyDescent="0.3">
      <c r="A35" s="10" t="s">
        <v>235</v>
      </c>
      <c r="B35" s="218" t="s">
        <v>649</v>
      </c>
      <c r="C35" s="223">
        <v>10.444444444444445</v>
      </c>
      <c r="D35" s="223">
        <v>6.3636363636363633</v>
      </c>
      <c r="E35" s="222">
        <v>7.7239057239057232</v>
      </c>
    </row>
    <row r="36" spans="1:5" s="5" customFormat="1" ht="18" x14ac:dyDescent="0.3">
      <c r="A36" s="10" t="s">
        <v>236</v>
      </c>
      <c r="B36" s="218" t="s">
        <v>607</v>
      </c>
      <c r="C36" s="223">
        <v>9.2222222222222214</v>
      </c>
      <c r="D36" s="223">
        <v>6.8181818181818183</v>
      </c>
      <c r="E36" s="222">
        <v>7.6195286195286194</v>
      </c>
    </row>
    <row r="37" spans="1:5" s="5" customFormat="1" ht="18" x14ac:dyDescent="0.3">
      <c r="A37" s="10" t="s">
        <v>237</v>
      </c>
      <c r="B37" s="218" t="s">
        <v>614</v>
      </c>
      <c r="C37" s="223">
        <v>9</v>
      </c>
      <c r="D37" s="223">
        <v>6.9090909090909092</v>
      </c>
      <c r="E37" s="222">
        <v>7.6060606060606064</v>
      </c>
    </row>
    <row r="38" spans="1:5" s="5" customFormat="1" ht="18" x14ac:dyDescent="0.3">
      <c r="A38" s="10" t="s">
        <v>238</v>
      </c>
      <c r="B38" s="218" t="s">
        <v>632</v>
      </c>
      <c r="C38" s="223">
        <v>10.444444444444445</v>
      </c>
      <c r="D38" s="223">
        <v>6.0909090909090908</v>
      </c>
      <c r="E38" s="224">
        <v>7.5420875420875424</v>
      </c>
    </row>
    <row r="39" spans="1:5" s="5" customFormat="1" ht="18" x14ac:dyDescent="0.3">
      <c r="A39" s="10" t="s">
        <v>239</v>
      </c>
      <c r="B39" s="218" t="s">
        <v>654</v>
      </c>
      <c r="C39" s="223">
        <v>10.222222222222221</v>
      </c>
      <c r="D39" s="223">
        <v>5.8181818181818183</v>
      </c>
      <c r="E39" s="224">
        <v>7.2861952861952863</v>
      </c>
    </row>
    <row r="40" spans="1:5" s="5" customFormat="1" ht="18" x14ac:dyDescent="0.3">
      <c r="A40" s="10" t="s">
        <v>240</v>
      </c>
      <c r="B40" s="218" t="s">
        <v>618</v>
      </c>
      <c r="C40" s="228">
        <v>9.3333333333333339</v>
      </c>
      <c r="D40" s="228">
        <v>5.7272727272727275</v>
      </c>
      <c r="E40" s="229">
        <v>6.9292929292929299</v>
      </c>
    </row>
    <row r="41" spans="1:5" s="5" customFormat="1" ht="18" x14ac:dyDescent="0.3">
      <c r="A41" s="10" t="s">
        <v>314</v>
      </c>
      <c r="B41" s="218" t="s">
        <v>616</v>
      </c>
      <c r="C41" s="223">
        <v>10.111111111111111</v>
      </c>
      <c r="D41" s="223">
        <v>5.1818181818181817</v>
      </c>
      <c r="E41" s="222">
        <v>6.8249158249158244</v>
      </c>
    </row>
    <row r="42" spans="1:5" s="5" customFormat="1" ht="18" x14ac:dyDescent="0.3">
      <c r="A42" s="10" t="s">
        <v>242</v>
      </c>
      <c r="B42" s="218" t="s">
        <v>650</v>
      </c>
      <c r="C42" s="223">
        <v>9.4444444444444446</v>
      </c>
      <c r="D42" s="223">
        <v>5.3636363636363633</v>
      </c>
      <c r="E42" s="222">
        <v>6.7239057239057232</v>
      </c>
    </row>
    <row r="43" spans="1:5" s="5" customFormat="1" ht="18" x14ac:dyDescent="0.3">
      <c r="A43" s="10" t="s">
        <v>243</v>
      </c>
      <c r="B43" s="218" t="s">
        <v>639</v>
      </c>
      <c r="C43" s="223">
        <v>9.1111111111111107</v>
      </c>
      <c r="D43" s="223">
        <v>5.1818181818181817</v>
      </c>
      <c r="E43" s="222">
        <v>6.4915824915824913</v>
      </c>
    </row>
    <row r="44" spans="1:5" s="5" customFormat="1" ht="18" x14ac:dyDescent="0.3">
      <c r="A44" s="10" t="s">
        <v>244</v>
      </c>
      <c r="B44" s="218" t="s">
        <v>641</v>
      </c>
      <c r="C44" s="223">
        <v>8.6666666666666661</v>
      </c>
      <c r="D44" s="223">
        <v>5</v>
      </c>
      <c r="E44" s="222">
        <v>6.2222222222222214</v>
      </c>
    </row>
    <row r="45" spans="1:5" s="5" customFormat="1" ht="18" x14ac:dyDescent="0.3">
      <c r="A45" s="10" t="s">
        <v>245</v>
      </c>
      <c r="B45" s="218" t="s">
        <v>620</v>
      </c>
      <c r="C45" s="223">
        <v>8.2222222222222214</v>
      </c>
      <c r="D45" s="223">
        <v>5.0909090909090908</v>
      </c>
      <c r="E45" s="222">
        <v>6.1346801346801341</v>
      </c>
    </row>
    <row r="46" spans="1:5" s="5" customFormat="1" ht="18" x14ac:dyDescent="0.3">
      <c r="A46" s="10" t="s">
        <v>246</v>
      </c>
      <c r="B46" s="218" t="s">
        <v>619</v>
      </c>
      <c r="C46" s="223">
        <v>9.5555555555555554</v>
      </c>
      <c r="D46" s="223">
        <v>4.1818181818181817</v>
      </c>
      <c r="E46" s="222">
        <v>5.9730639730639723</v>
      </c>
    </row>
    <row r="47" spans="1:5" s="5" customFormat="1" ht="18" x14ac:dyDescent="0.3">
      <c r="A47" s="10" t="s">
        <v>247</v>
      </c>
      <c r="B47" s="218" t="s">
        <v>657</v>
      </c>
      <c r="C47" s="223">
        <v>7.333333333333333</v>
      </c>
      <c r="D47" s="223">
        <v>5.2727272727272725</v>
      </c>
      <c r="E47" s="222">
        <v>5.9595959595959593</v>
      </c>
    </row>
    <row r="48" spans="1:5" s="5" customFormat="1" ht="18" x14ac:dyDescent="0.3">
      <c r="A48" s="10" t="s">
        <v>248</v>
      </c>
      <c r="B48" s="218" t="s">
        <v>630</v>
      </c>
      <c r="C48" s="223">
        <v>7.4444444444444446</v>
      </c>
      <c r="D48" s="223">
        <v>5.1818181818181817</v>
      </c>
      <c r="E48" s="222">
        <v>5.9360269360269369</v>
      </c>
    </row>
    <row r="49" spans="1:5" s="5" customFormat="1" ht="18" x14ac:dyDescent="0.3">
      <c r="A49" s="10" t="s">
        <v>249</v>
      </c>
      <c r="B49" s="218" t="s">
        <v>651</v>
      </c>
      <c r="C49" s="223">
        <v>8</v>
      </c>
      <c r="D49" s="223">
        <v>4.8181818181818183</v>
      </c>
      <c r="E49" s="224">
        <v>5.8787878787878789</v>
      </c>
    </row>
    <row r="50" spans="1:5" s="5" customFormat="1" ht="18" x14ac:dyDescent="0.3">
      <c r="A50" s="10" t="s">
        <v>250</v>
      </c>
      <c r="B50" s="218" t="s">
        <v>621</v>
      </c>
      <c r="C50" s="223">
        <v>8.1111111111111107</v>
      </c>
      <c r="D50" s="223">
        <v>4.0909090909090908</v>
      </c>
      <c r="E50" s="222">
        <v>5.4309764309764317</v>
      </c>
    </row>
    <row r="51" spans="1:5" s="5" customFormat="1" ht="18" x14ac:dyDescent="0.3">
      <c r="A51" s="10" t="s">
        <v>313</v>
      </c>
      <c r="B51" s="218" t="s">
        <v>628</v>
      </c>
      <c r="C51" s="223">
        <v>7.2222222222222223</v>
      </c>
      <c r="D51" s="223">
        <v>4.3636363636363633</v>
      </c>
      <c r="E51" s="222">
        <v>5.3164983164983157</v>
      </c>
    </row>
    <row r="52" spans="1:5" s="5" customFormat="1" ht="18" x14ac:dyDescent="0.3">
      <c r="A52" s="10" t="s">
        <v>252</v>
      </c>
      <c r="B52" s="218" t="s">
        <v>653</v>
      </c>
      <c r="C52" s="223">
        <v>6.7777777777777777</v>
      </c>
      <c r="D52" s="223">
        <v>4.1818181818181817</v>
      </c>
      <c r="E52" s="222">
        <v>5.0471380471380476</v>
      </c>
    </row>
    <row r="53" spans="1:5" s="5" customFormat="1" ht="18" x14ac:dyDescent="0.3">
      <c r="A53" s="10" t="s">
        <v>253</v>
      </c>
      <c r="B53" s="218" t="s">
        <v>606</v>
      </c>
      <c r="C53" s="223">
        <v>8.5555555555555554</v>
      </c>
      <c r="D53" s="223">
        <v>3.2727272727272729</v>
      </c>
      <c r="E53" s="222">
        <v>5.0336700336700337</v>
      </c>
    </row>
    <row r="54" spans="1:5" s="5" customFormat="1" ht="18" x14ac:dyDescent="0.3">
      <c r="A54" s="10" t="s">
        <v>254</v>
      </c>
      <c r="B54" s="218" t="s">
        <v>636</v>
      </c>
      <c r="C54" s="223">
        <v>7.2222222222222223</v>
      </c>
      <c r="D54" s="223">
        <v>3.9090909090909092</v>
      </c>
      <c r="E54" s="222">
        <v>5.0134680134680139</v>
      </c>
    </row>
    <row r="55" spans="1:5" s="5" customFormat="1" ht="18" x14ac:dyDescent="0.3">
      <c r="A55" s="10" t="s">
        <v>255</v>
      </c>
      <c r="B55" s="218" t="s">
        <v>634</v>
      </c>
      <c r="C55" s="223">
        <v>7.8888888888888893</v>
      </c>
      <c r="D55" s="223">
        <v>3.2727272727272729</v>
      </c>
      <c r="E55" s="222">
        <v>4.8114478114478123</v>
      </c>
    </row>
    <row r="56" spans="1:5" s="5" customFormat="1" ht="18" x14ac:dyDescent="0.3">
      <c r="A56" s="10" t="s">
        <v>256</v>
      </c>
      <c r="B56" s="220" t="s">
        <v>627</v>
      </c>
      <c r="C56" s="226">
        <v>6.1111111111111107</v>
      </c>
      <c r="D56" s="223">
        <v>3.1818181818181817</v>
      </c>
      <c r="E56" s="222">
        <v>4.1582491582491583</v>
      </c>
    </row>
    <row r="57" spans="1:5" s="5" customFormat="1" ht="18" x14ac:dyDescent="0.3">
      <c r="A57" s="10" t="s">
        <v>257</v>
      </c>
      <c r="B57" s="218" t="s">
        <v>612</v>
      </c>
      <c r="C57" s="223">
        <v>8.2222222222222214</v>
      </c>
      <c r="D57" s="223">
        <v>1.8181818181818181</v>
      </c>
      <c r="E57" s="222">
        <v>3.9528619528619529</v>
      </c>
    </row>
    <row r="58" spans="1:5" s="5" customFormat="1" ht="18" x14ac:dyDescent="0.3">
      <c r="A58" s="10" t="s">
        <v>258</v>
      </c>
      <c r="B58" s="218" t="s">
        <v>613</v>
      </c>
      <c r="C58" s="223">
        <v>4.8888888888888893</v>
      </c>
      <c r="D58" s="223">
        <v>3.3636363636363638</v>
      </c>
      <c r="E58" s="222">
        <v>3.872053872053872</v>
      </c>
    </row>
    <row r="59" spans="1:5" s="5" customFormat="1" ht="18" x14ac:dyDescent="0.3">
      <c r="A59" s="10" t="s">
        <v>259</v>
      </c>
      <c r="B59" s="218" t="s">
        <v>622</v>
      </c>
      <c r="C59" s="225">
        <v>5</v>
      </c>
      <c r="D59" s="225">
        <v>0</v>
      </c>
      <c r="E59" s="225">
        <v>1.6666666666666667</v>
      </c>
    </row>
    <row r="60" spans="1:5" s="5" customFormat="1" ht="18" x14ac:dyDescent="0.3">
      <c r="A60" s="10" t="s">
        <v>260</v>
      </c>
      <c r="B60" s="218" t="s">
        <v>645</v>
      </c>
      <c r="C60" s="223">
        <v>2</v>
      </c>
      <c r="D60" s="223">
        <v>0.54545454545454541</v>
      </c>
      <c r="E60" s="224">
        <v>1.0303030303030303</v>
      </c>
    </row>
    <row r="61" spans="1:5" s="5" customFormat="1" ht="18" x14ac:dyDescent="0.3">
      <c r="A61" s="10" t="s">
        <v>312</v>
      </c>
      <c r="B61" s="221" t="s">
        <v>656</v>
      </c>
      <c r="C61" s="227">
        <v>2.8888888888888888</v>
      </c>
      <c r="D61" s="227">
        <v>0</v>
      </c>
      <c r="E61" s="227">
        <v>0.96296296296296291</v>
      </c>
    </row>
    <row r="62" spans="1:5" s="5" customFormat="1" ht="18" x14ac:dyDescent="0.3">
      <c r="A62" s="10" t="s">
        <v>262</v>
      </c>
      <c r="B62" s="218" t="s">
        <v>652</v>
      </c>
      <c r="C62" s="227">
        <v>2.3333333333333335</v>
      </c>
      <c r="D62" s="227">
        <v>0</v>
      </c>
      <c r="E62" s="227">
        <v>0.77777777777777779</v>
      </c>
    </row>
    <row r="63" spans="1:5" s="5" customFormat="1" ht="18" x14ac:dyDescent="0.3">
      <c r="A63" s="10" t="s">
        <v>263</v>
      </c>
      <c r="B63" s="218" t="s">
        <v>633</v>
      </c>
      <c r="C63" s="225">
        <v>0.66666666666666663</v>
      </c>
      <c r="D63" s="225">
        <v>0</v>
      </c>
      <c r="E63" s="225">
        <v>0.22222222222222221</v>
      </c>
    </row>
    <row r="64" spans="1:5" s="5" customFormat="1" ht="18" x14ac:dyDescent="0.3">
      <c r="A64" s="10" t="s">
        <v>264</v>
      </c>
      <c r="B64" s="218" t="s">
        <v>617</v>
      </c>
      <c r="C64" s="223">
        <v>0.33333333333333331</v>
      </c>
      <c r="D64" s="227">
        <v>0</v>
      </c>
      <c r="E64" s="222">
        <v>0.1111111111111111</v>
      </c>
    </row>
    <row r="65" spans="2:6" s="5" customFormat="1" ht="12.75" x14ac:dyDescent="0.2"/>
    <row r="66" spans="2:6" s="5" customFormat="1" ht="12.75" x14ac:dyDescent="0.2"/>
    <row r="67" spans="2:6" s="5" customFormat="1" ht="12.75" x14ac:dyDescent="0.2"/>
    <row r="68" spans="2:6" s="5" customFormat="1" x14ac:dyDescent="0.3">
      <c r="B68" s="2"/>
      <c r="C68" s="281" t="s">
        <v>392</v>
      </c>
      <c r="D68" s="281"/>
      <c r="E68" s="281"/>
      <c r="F68" s="281"/>
    </row>
    <row r="69" spans="2:6" s="5" customFormat="1" x14ac:dyDescent="0.3">
      <c r="B69" s="2"/>
      <c r="C69" s="2"/>
      <c r="D69" s="2"/>
      <c r="E69" s="2"/>
      <c r="F69" s="2"/>
    </row>
    <row r="70" spans="2:6" s="5" customFormat="1" x14ac:dyDescent="0.3">
      <c r="B70" s="2"/>
      <c r="C70" s="2"/>
      <c r="D70" s="47" t="s">
        <v>393</v>
      </c>
      <c r="E70" s="47" t="s">
        <v>394</v>
      </c>
      <c r="F70" s="47" t="s">
        <v>395</v>
      </c>
    </row>
    <row r="71" spans="2:6" s="11" customFormat="1" x14ac:dyDescent="0.3">
      <c r="B71" s="2"/>
      <c r="C71" s="48" t="s">
        <v>396</v>
      </c>
      <c r="D71" s="49">
        <v>34</v>
      </c>
      <c r="E71" s="49">
        <v>20</v>
      </c>
      <c r="F71" s="49">
        <v>54</v>
      </c>
    </row>
    <row r="72" spans="2:6" s="5" customFormat="1" x14ac:dyDescent="0.3">
      <c r="B72" s="2"/>
      <c r="C72" s="10" t="s">
        <v>397</v>
      </c>
      <c r="D72" s="49">
        <v>34</v>
      </c>
      <c r="E72" s="49">
        <v>20</v>
      </c>
      <c r="F72" s="49">
        <v>54</v>
      </c>
    </row>
    <row r="73" spans="2:6" s="5" customFormat="1" x14ac:dyDescent="0.3">
      <c r="B73" s="2"/>
      <c r="C73" s="10" t="s">
        <v>398</v>
      </c>
      <c r="D73" s="49">
        <v>0</v>
      </c>
      <c r="E73" s="49">
        <v>0</v>
      </c>
      <c r="F73" s="49">
        <v>0</v>
      </c>
    </row>
    <row r="74" spans="2:6" s="5" customFormat="1" x14ac:dyDescent="0.3">
      <c r="B74" s="2"/>
      <c r="C74" s="10" t="s">
        <v>399</v>
      </c>
      <c r="D74" s="49">
        <v>6</v>
      </c>
      <c r="E74" s="49">
        <v>5</v>
      </c>
      <c r="F74" s="49">
        <v>11</v>
      </c>
    </row>
    <row r="75" spans="2:6" s="5" customFormat="1" x14ac:dyDescent="0.3">
      <c r="B75" s="2"/>
      <c r="C75" s="10" t="s">
        <v>400</v>
      </c>
      <c r="D75" s="49">
        <v>28</v>
      </c>
      <c r="E75" s="49">
        <v>15</v>
      </c>
      <c r="F75" s="49">
        <v>43</v>
      </c>
    </row>
    <row r="76" spans="2:6" s="5" customFormat="1" x14ac:dyDescent="0.3">
      <c r="B76" s="2"/>
      <c r="C76" s="10" t="s">
        <v>401</v>
      </c>
      <c r="D76" s="50">
        <f>+D74/D71</f>
        <v>0.17647058823529413</v>
      </c>
      <c r="E76" s="50">
        <f>+E74/E71</f>
        <v>0.25</v>
      </c>
      <c r="F76" s="50">
        <f>+F74/F71</f>
        <v>0.20370370370370369</v>
      </c>
    </row>
    <row r="77" spans="2:6" s="5" customFormat="1" ht="15" x14ac:dyDescent="0.25">
      <c r="B77"/>
      <c r="C77"/>
      <c r="D77"/>
      <c r="E77"/>
      <c r="F77"/>
    </row>
    <row r="78" spans="2:6" s="5" customFormat="1" x14ac:dyDescent="0.3">
      <c r="B78" s="2"/>
      <c r="C78" s="2"/>
      <c r="D78" s="2"/>
      <c r="E78" s="275"/>
      <c r="F78" s="275"/>
    </row>
    <row r="79" spans="2:6" s="5" customFormat="1" x14ac:dyDescent="0.3">
      <c r="B79" s="2"/>
      <c r="C79" s="2"/>
      <c r="D79" s="2"/>
      <c r="E79" s="2"/>
      <c r="F79" s="2"/>
    </row>
    <row r="80" spans="2:6" s="5" customFormat="1" x14ac:dyDescent="0.3">
      <c r="B80" s="2"/>
      <c r="C80" s="2"/>
      <c r="D80" s="15" t="s">
        <v>925</v>
      </c>
      <c r="E80" s="241"/>
      <c r="F80" s="53"/>
    </row>
    <row r="81" spans="2:6" s="5" customFormat="1" x14ac:dyDescent="0.3">
      <c r="B81" s="2"/>
      <c r="C81" s="2"/>
      <c r="D81" s="2"/>
      <c r="E81" s="2"/>
      <c r="F81" s="2"/>
    </row>
    <row r="82" spans="2:6" s="5" customFormat="1" x14ac:dyDescent="0.3">
      <c r="B82" s="285" t="s">
        <v>921</v>
      </c>
      <c r="C82" s="285"/>
      <c r="D82" s="15"/>
      <c r="E82" s="15" t="s">
        <v>404</v>
      </c>
      <c r="F82" s="15"/>
    </row>
    <row r="83" spans="2:6" s="5" customFormat="1" x14ac:dyDescent="0.3">
      <c r="B83" s="15"/>
      <c r="C83" s="15"/>
      <c r="D83" s="15"/>
      <c r="E83" s="15"/>
      <c r="F83" s="15"/>
    </row>
    <row r="84" spans="2:6" s="5" customFormat="1" x14ac:dyDescent="0.3">
      <c r="B84" s="15"/>
      <c r="C84" s="15"/>
      <c r="D84" s="15"/>
      <c r="E84" s="15"/>
      <c r="F84" s="15"/>
    </row>
    <row r="85" spans="2:6" s="5" customFormat="1" x14ac:dyDescent="0.3">
      <c r="B85" s="285" t="s">
        <v>922</v>
      </c>
      <c r="C85" s="285"/>
      <c r="D85" s="15"/>
      <c r="E85" s="15" t="s">
        <v>8</v>
      </c>
      <c r="F85" s="15"/>
    </row>
    <row r="86" spans="2:6" s="5" customFormat="1" ht="12.75" x14ac:dyDescent="0.2"/>
    <row r="87" spans="2:6" s="5" customFormat="1" ht="12.75" x14ac:dyDescent="0.2"/>
    <row r="88" spans="2:6" s="5" customFormat="1" ht="12.75" x14ac:dyDescent="0.2"/>
    <row r="89" spans="2:6" s="5" customFormat="1" ht="12.75" x14ac:dyDescent="0.2"/>
    <row r="90" spans="2:6" s="5" customFormat="1" ht="12.75" x14ac:dyDescent="0.2"/>
    <row r="91" spans="2:6" s="5" customFormat="1" ht="12.75" x14ac:dyDescent="0.2"/>
    <row r="92" spans="2:6" s="5" customFormat="1" ht="12.75" x14ac:dyDescent="0.2"/>
    <row r="93" spans="2:6" s="5" customFormat="1" ht="12.75" x14ac:dyDescent="0.2"/>
    <row r="94" spans="2:6" s="5" customFormat="1" ht="12.75" x14ac:dyDescent="0.2"/>
    <row r="95" spans="2:6" s="5" customFormat="1" ht="12.75" x14ac:dyDescent="0.2"/>
    <row r="96" spans="2:6" s="5" customFormat="1" ht="12.75" x14ac:dyDescent="0.2"/>
    <row r="97" spans="6:8" s="5" customFormat="1" ht="12.75" x14ac:dyDescent="0.2"/>
    <row r="98" spans="6:8" s="5" customFormat="1" ht="12.75" x14ac:dyDescent="0.2"/>
    <row r="99" spans="6:8" s="5" customFormat="1" ht="12.75" x14ac:dyDescent="0.2"/>
    <row r="100" spans="6:8" s="5" customFormat="1" ht="12.75" x14ac:dyDescent="0.2"/>
    <row r="101" spans="6:8" s="5" customFormat="1" ht="12.75" x14ac:dyDescent="0.2"/>
    <row r="102" spans="6:8" s="5" customFormat="1" ht="12.75" x14ac:dyDescent="0.2"/>
    <row r="103" spans="6:8" s="5" customFormat="1" ht="12.75" x14ac:dyDescent="0.2"/>
    <row r="104" spans="6:8" s="5" customFormat="1" ht="12.75" x14ac:dyDescent="0.2"/>
    <row r="105" spans="6:8" s="5" customFormat="1" ht="12.75" x14ac:dyDescent="0.2"/>
    <row r="106" spans="6:8" s="5" customFormat="1" ht="12.75" x14ac:dyDescent="0.2"/>
    <row r="107" spans="6:8" s="5" customFormat="1" ht="12.75" x14ac:dyDescent="0.2"/>
    <row r="108" spans="6:8" s="5" customFormat="1" ht="12.75" x14ac:dyDescent="0.2"/>
    <row r="109" spans="6:8" s="5" customFormat="1" ht="12.75" x14ac:dyDescent="0.2"/>
    <row r="110" spans="6:8" s="5" customFormat="1" ht="15" x14ac:dyDescent="0.25">
      <c r="F110"/>
      <c r="G110"/>
      <c r="H110"/>
    </row>
    <row r="111" spans="6:8" s="5" customFormat="1" ht="15" x14ac:dyDescent="0.25">
      <c r="F111"/>
      <c r="G111"/>
      <c r="H111"/>
    </row>
    <row r="112" spans="6:8" s="5" customFormat="1" ht="15" x14ac:dyDescent="0.25">
      <c r="F112"/>
      <c r="G112"/>
      <c r="H112"/>
    </row>
    <row r="113" spans="6:8" s="5" customFormat="1" ht="15" x14ac:dyDescent="0.25">
      <c r="F113"/>
      <c r="G113"/>
      <c r="H113"/>
    </row>
    <row r="114" spans="6:8" x14ac:dyDescent="0.3">
      <c r="F114"/>
      <c r="G114"/>
      <c r="H114"/>
    </row>
    <row r="115" spans="6:8" x14ac:dyDescent="0.3">
      <c r="F115"/>
      <c r="G115"/>
      <c r="H115"/>
    </row>
    <row r="116" spans="6:8" x14ac:dyDescent="0.3">
      <c r="F116"/>
      <c r="G116"/>
      <c r="H116"/>
    </row>
    <row r="117" spans="6:8" x14ac:dyDescent="0.3">
      <c r="F117"/>
      <c r="G117"/>
      <c r="H117"/>
    </row>
    <row r="118" spans="6:8" x14ac:dyDescent="0.3">
      <c r="F118"/>
      <c r="G118"/>
      <c r="H118"/>
    </row>
    <row r="119" spans="6:8" x14ac:dyDescent="0.3">
      <c r="F119"/>
      <c r="G119"/>
      <c r="H119"/>
    </row>
    <row r="120" spans="6:8" x14ac:dyDescent="0.3">
      <c r="G120" s="275"/>
      <c r="H120" s="275"/>
    </row>
    <row r="122" spans="6:8" x14ac:dyDescent="0.3">
      <c r="G122" s="275"/>
      <c r="H122" s="275"/>
    </row>
    <row r="126" spans="6:8" x14ac:dyDescent="0.3">
      <c r="G126" s="275"/>
      <c r="H126" s="275"/>
    </row>
  </sheetData>
  <sortState ref="B11:E64">
    <sortCondition descending="1" ref="E11:E64"/>
  </sortState>
  <mergeCells count="12">
    <mergeCell ref="C2:E2"/>
    <mergeCell ref="B9:E9"/>
    <mergeCell ref="B5:G5"/>
    <mergeCell ref="B6:G6"/>
    <mergeCell ref="B7:G8"/>
    <mergeCell ref="G126:H126"/>
    <mergeCell ref="E78:F78"/>
    <mergeCell ref="C68:F68"/>
    <mergeCell ref="G120:H120"/>
    <mergeCell ref="G122:H122"/>
    <mergeCell ref="B82:C82"/>
    <mergeCell ref="B85:C85"/>
  </mergeCells>
  <printOptions horizontalCentered="1"/>
  <pageMargins left="0.15748031496062992" right="0.15748031496062992" top="0.35433070866141736" bottom="0.35433070866141736" header="0" footer="0.11811023622047245"/>
  <pageSetup paperSize="9" scale="95" orientation="portrait" r:id="rId1"/>
  <headerFooter>
    <oddFooter>&amp;LGSP MOH-CA / 10ème Année&amp;R&amp;P/&amp;N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H127"/>
  <sheetViews>
    <sheetView workbookViewId="0">
      <selection activeCell="B5" sqref="B5:G5"/>
    </sheetView>
  </sheetViews>
  <sheetFormatPr baseColWidth="10" defaultRowHeight="15" x14ac:dyDescent="0.25"/>
  <cols>
    <col min="2" max="2" width="35.7109375" customWidth="1"/>
    <col min="3" max="3" width="12.5703125" customWidth="1"/>
    <col min="4" max="4" width="13" customWidth="1"/>
    <col min="5" max="5" width="13.28515625" customWidth="1"/>
  </cols>
  <sheetData>
    <row r="1" spans="1:8" ht="20.25" x14ac:dyDescent="0.3">
      <c r="A1" s="74" t="s">
        <v>1</v>
      </c>
      <c r="B1" s="76"/>
      <c r="C1" s="119" t="s">
        <v>5</v>
      </c>
      <c r="D1" s="119"/>
      <c r="E1" s="119"/>
      <c r="F1" s="76"/>
      <c r="G1" s="76"/>
      <c r="H1" s="76"/>
    </row>
    <row r="2" spans="1:8" ht="16.5" x14ac:dyDescent="0.3">
      <c r="A2" s="74" t="s">
        <v>2</v>
      </c>
      <c r="B2" s="76"/>
      <c r="C2" s="302" t="s">
        <v>6</v>
      </c>
      <c r="D2" s="302"/>
      <c r="E2" s="302"/>
      <c r="F2" s="76"/>
      <c r="G2" s="76"/>
      <c r="H2" s="76"/>
    </row>
    <row r="3" spans="1:8" ht="16.5" x14ac:dyDescent="0.3">
      <c r="A3" s="74" t="s">
        <v>3</v>
      </c>
      <c r="B3" s="76"/>
      <c r="C3" s="76"/>
      <c r="D3" s="76"/>
      <c r="E3" s="76"/>
      <c r="F3" s="76"/>
      <c r="G3" s="76"/>
      <c r="H3" s="76"/>
    </row>
    <row r="4" spans="1:8" ht="16.5" x14ac:dyDescent="0.3">
      <c r="A4" s="74" t="s">
        <v>4</v>
      </c>
      <c r="B4" s="76"/>
      <c r="C4" s="76"/>
      <c r="D4" s="120"/>
      <c r="E4" s="120"/>
      <c r="F4" s="76"/>
      <c r="G4" s="76"/>
      <c r="H4" s="76"/>
    </row>
    <row r="5" spans="1:8" ht="16.5" x14ac:dyDescent="0.3">
      <c r="A5" s="76"/>
      <c r="B5" s="303" t="s">
        <v>457</v>
      </c>
      <c r="C5" s="303"/>
      <c r="D5" s="303"/>
      <c r="E5" s="303"/>
      <c r="F5" s="303"/>
      <c r="G5" s="303"/>
      <c r="H5" s="76"/>
    </row>
    <row r="6" spans="1:8" ht="18" x14ac:dyDescent="0.3">
      <c r="A6" s="76"/>
      <c r="B6" s="303" t="s">
        <v>390</v>
      </c>
      <c r="C6" s="303"/>
      <c r="D6" s="303"/>
      <c r="E6" s="303"/>
      <c r="F6" s="303"/>
      <c r="G6" s="303"/>
      <c r="H6" s="76"/>
    </row>
    <row r="7" spans="1:8" ht="16.5" x14ac:dyDescent="0.3">
      <c r="A7" s="76"/>
      <c r="B7" s="304" t="s">
        <v>451</v>
      </c>
      <c r="C7" s="304"/>
      <c r="D7" s="304"/>
      <c r="E7" s="304"/>
      <c r="F7" s="304"/>
      <c r="G7" s="304"/>
      <c r="H7" s="76"/>
    </row>
    <row r="8" spans="1:8" ht="16.5" x14ac:dyDescent="0.3">
      <c r="A8" s="76"/>
      <c r="B8" s="304"/>
      <c r="C8" s="304"/>
      <c r="D8" s="304"/>
      <c r="E8" s="304"/>
      <c r="F8" s="304"/>
      <c r="G8" s="304"/>
      <c r="H8" s="76"/>
    </row>
    <row r="9" spans="1:8" ht="16.5" x14ac:dyDescent="0.3">
      <c r="A9" s="76"/>
      <c r="B9" s="305"/>
      <c r="C9" s="305"/>
      <c r="D9" s="305"/>
      <c r="E9" s="305"/>
      <c r="F9" s="76"/>
      <c r="G9" s="76"/>
      <c r="H9" s="76"/>
    </row>
    <row r="10" spans="1:8" ht="38.25" x14ac:dyDescent="0.25">
      <c r="A10" s="122" t="s">
        <v>106</v>
      </c>
      <c r="B10" s="123" t="s">
        <v>0</v>
      </c>
      <c r="C10" s="123" t="s">
        <v>208</v>
      </c>
      <c r="D10" s="123" t="s">
        <v>209</v>
      </c>
      <c r="E10" s="123" t="s">
        <v>445</v>
      </c>
      <c r="F10" s="79"/>
      <c r="G10" s="79"/>
      <c r="H10" s="79"/>
    </row>
    <row r="11" spans="1:8" ht="18" x14ac:dyDescent="0.3">
      <c r="A11" s="87" t="s">
        <v>317</v>
      </c>
      <c r="B11" s="110" t="s">
        <v>57</v>
      </c>
      <c r="C11" s="124"/>
      <c r="D11" s="124"/>
      <c r="E11" s="125">
        <f t="shared" ref="E11:E74" si="0">+(D11*2+C11)/3</f>
        <v>0</v>
      </c>
      <c r="F11" s="84"/>
      <c r="G11" s="84"/>
      <c r="H11" s="84"/>
    </row>
    <row r="12" spans="1:8" ht="18" x14ac:dyDescent="0.3">
      <c r="A12" s="87" t="s">
        <v>212</v>
      </c>
      <c r="B12" s="110" t="s">
        <v>21</v>
      </c>
      <c r="C12" s="124"/>
      <c r="D12" s="124"/>
      <c r="E12" s="125">
        <f t="shared" si="0"/>
        <v>0</v>
      </c>
      <c r="F12" s="84"/>
      <c r="G12" s="84"/>
      <c r="H12" s="84"/>
    </row>
    <row r="13" spans="1:8" ht="18" x14ac:dyDescent="0.3">
      <c r="A13" s="87" t="s">
        <v>213</v>
      </c>
      <c r="B13" s="110" t="s">
        <v>53</v>
      </c>
      <c r="C13" s="124"/>
      <c r="D13" s="124"/>
      <c r="E13" s="125">
        <f t="shared" si="0"/>
        <v>0</v>
      </c>
      <c r="F13" s="84"/>
      <c r="G13" s="84"/>
      <c r="H13" s="84"/>
    </row>
    <row r="14" spans="1:8" ht="18" x14ac:dyDescent="0.3">
      <c r="A14" s="87" t="s">
        <v>214</v>
      </c>
      <c r="B14" s="110" t="s">
        <v>61</v>
      </c>
      <c r="C14" s="124"/>
      <c r="D14" s="124"/>
      <c r="E14" s="125">
        <f t="shared" si="0"/>
        <v>0</v>
      </c>
      <c r="F14" s="84"/>
      <c r="G14" s="84"/>
      <c r="H14" s="84"/>
    </row>
    <row r="15" spans="1:8" ht="18" x14ac:dyDescent="0.3">
      <c r="A15" s="87" t="s">
        <v>215</v>
      </c>
      <c r="B15" s="110" t="s">
        <v>12</v>
      </c>
      <c r="C15" s="124"/>
      <c r="D15" s="124"/>
      <c r="E15" s="125">
        <f t="shared" si="0"/>
        <v>0</v>
      </c>
      <c r="F15" s="84"/>
      <c r="G15" s="84"/>
      <c r="H15" s="84"/>
    </row>
    <row r="16" spans="1:8" ht="18" x14ac:dyDescent="0.3">
      <c r="A16" s="87" t="s">
        <v>216</v>
      </c>
      <c r="B16" s="110" t="s">
        <v>25</v>
      </c>
      <c r="C16" s="124"/>
      <c r="D16" s="124"/>
      <c r="E16" s="125">
        <f t="shared" si="0"/>
        <v>0</v>
      </c>
      <c r="F16" s="84"/>
      <c r="G16" s="84"/>
      <c r="H16" s="84"/>
    </row>
    <row r="17" spans="1:8" ht="18" x14ac:dyDescent="0.3">
      <c r="A17" s="87" t="s">
        <v>217</v>
      </c>
      <c r="B17" s="82" t="s">
        <v>63</v>
      </c>
      <c r="C17" s="126"/>
      <c r="D17" s="124"/>
      <c r="E17" s="125">
        <f t="shared" si="0"/>
        <v>0</v>
      </c>
      <c r="F17" s="84"/>
      <c r="G17" s="84"/>
      <c r="H17" s="84"/>
    </row>
    <row r="18" spans="1:8" ht="18" x14ac:dyDescent="0.3">
      <c r="A18" s="87" t="s">
        <v>218</v>
      </c>
      <c r="B18" s="82" t="s">
        <v>50</v>
      </c>
      <c r="C18" s="124"/>
      <c r="D18" s="124"/>
      <c r="E18" s="125">
        <f t="shared" si="0"/>
        <v>0</v>
      </c>
      <c r="F18" s="84"/>
      <c r="G18" s="84"/>
      <c r="H18" s="84"/>
    </row>
    <row r="19" spans="1:8" ht="18" x14ac:dyDescent="0.3">
      <c r="A19" s="87" t="s">
        <v>219</v>
      </c>
      <c r="B19" s="110" t="s">
        <v>14</v>
      </c>
      <c r="C19" s="124"/>
      <c r="D19" s="124"/>
      <c r="E19" s="125">
        <f t="shared" si="0"/>
        <v>0</v>
      </c>
      <c r="F19" s="84"/>
      <c r="G19" s="84"/>
      <c r="H19" s="84"/>
    </row>
    <row r="20" spans="1:8" ht="18" x14ac:dyDescent="0.3">
      <c r="A20" s="87" t="s">
        <v>220</v>
      </c>
      <c r="B20" s="82" t="s">
        <v>71</v>
      </c>
      <c r="C20" s="124"/>
      <c r="D20" s="124"/>
      <c r="E20" s="125">
        <f t="shared" si="0"/>
        <v>0</v>
      </c>
      <c r="F20" s="84"/>
      <c r="G20" s="84"/>
      <c r="H20" s="84"/>
    </row>
    <row r="21" spans="1:8" ht="18" x14ac:dyDescent="0.3">
      <c r="A21" s="87" t="s">
        <v>221</v>
      </c>
      <c r="B21" s="110" t="s">
        <v>42</v>
      </c>
      <c r="C21" s="124"/>
      <c r="D21" s="124"/>
      <c r="E21" s="125">
        <f t="shared" si="0"/>
        <v>0</v>
      </c>
      <c r="F21" s="84"/>
      <c r="G21" s="84"/>
      <c r="H21" s="84"/>
    </row>
    <row r="22" spans="1:8" ht="18" x14ac:dyDescent="0.3">
      <c r="A22" s="87" t="s">
        <v>222</v>
      </c>
      <c r="B22" s="110" t="s">
        <v>73</v>
      </c>
      <c r="C22" s="124"/>
      <c r="D22" s="124"/>
      <c r="E22" s="125">
        <f t="shared" si="0"/>
        <v>0</v>
      </c>
      <c r="F22" s="84"/>
      <c r="G22" s="84"/>
      <c r="H22" s="84"/>
    </row>
    <row r="23" spans="1:8" ht="18" x14ac:dyDescent="0.3">
      <c r="A23" s="87" t="s">
        <v>223</v>
      </c>
      <c r="B23" s="110" t="s">
        <v>83</v>
      </c>
      <c r="C23" s="124"/>
      <c r="D23" s="124"/>
      <c r="E23" s="125">
        <f t="shared" si="0"/>
        <v>0</v>
      </c>
      <c r="F23" s="84"/>
      <c r="G23" s="84"/>
      <c r="H23" s="84"/>
    </row>
    <row r="24" spans="1:8" ht="18" x14ac:dyDescent="0.3">
      <c r="A24" s="87" t="s">
        <v>224</v>
      </c>
      <c r="B24" s="110" t="s">
        <v>43</v>
      </c>
      <c r="C24" s="124"/>
      <c r="D24" s="124"/>
      <c r="E24" s="125">
        <f t="shared" si="0"/>
        <v>0</v>
      </c>
      <c r="F24" s="84"/>
      <c r="G24" s="84"/>
      <c r="H24" s="84"/>
    </row>
    <row r="25" spans="1:8" ht="18" x14ac:dyDescent="0.3">
      <c r="A25" s="87" t="s">
        <v>225</v>
      </c>
      <c r="B25" s="110" t="s">
        <v>60</v>
      </c>
      <c r="C25" s="124"/>
      <c r="D25" s="124"/>
      <c r="E25" s="125">
        <f t="shared" si="0"/>
        <v>0</v>
      </c>
      <c r="F25" s="84"/>
      <c r="G25" s="84"/>
      <c r="H25" s="84"/>
    </row>
    <row r="26" spans="1:8" ht="18" x14ac:dyDescent="0.3">
      <c r="A26" s="87" t="s">
        <v>226</v>
      </c>
      <c r="B26" s="110" t="s">
        <v>41</v>
      </c>
      <c r="C26" s="124"/>
      <c r="D26" s="124"/>
      <c r="E26" s="125">
        <f t="shared" si="0"/>
        <v>0</v>
      </c>
      <c r="F26" s="84"/>
      <c r="G26" s="84"/>
      <c r="H26" s="84"/>
    </row>
    <row r="27" spans="1:8" ht="18" x14ac:dyDescent="0.3">
      <c r="A27" s="87" t="s">
        <v>227</v>
      </c>
      <c r="B27" s="110" t="s">
        <v>55</v>
      </c>
      <c r="C27" s="124"/>
      <c r="D27" s="124"/>
      <c r="E27" s="125">
        <f t="shared" si="0"/>
        <v>0</v>
      </c>
      <c r="F27" s="84"/>
      <c r="G27" s="84"/>
      <c r="H27" s="84"/>
    </row>
    <row r="28" spans="1:8" ht="18" x14ac:dyDescent="0.3">
      <c r="A28" s="87" t="s">
        <v>228</v>
      </c>
      <c r="B28" s="110" t="s">
        <v>44</v>
      </c>
      <c r="C28" s="124"/>
      <c r="D28" s="124"/>
      <c r="E28" s="125">
        <f t="shared" si="0"/>
        <v>0</v>
      </c>
      <c r="F28" s="84"/>
      <c r="G28" s="84"/>
      <c r="H28" s="84"/>
    </row>
    <row r="29" spans="1:8" ht="18" x14ac:dyDescent="0.3">
      <c r="A29" s="87" t="s">
        <v>229</v>
      </c>
      <c r="B29" s="110" t="s">
        <v>81</v>
      </c>
      <c r="C29" s="124"/>
      <c r="D29" s="124"/>
      <c r="E29" s="125">
        <f t="shared" si="0"/>
        <v>0</v>
      </c>
      <c r="F29" s="84"/>
      <c r="G29" s="84"/>
      <c r="H29" s="84"/>
    </row>
    <row r="30" spans="1:8" ht="18" x14ac:dyDescent="0.3">
      <c r="A30" s="87" t="s">
        <v>230</v>
      </c>
      <c r="B30" s="110" t="s">
        <v>13</v>
      </c>
      <c r="C30" s="124"/>
      <c r="D30" s="124"/>
      <c r="E30" s="125">
        <f t="shared" si="0"/>
        <v>0</v>
      </c>
      <c r="F30" s="84"/>
      <c r="G30" s="84"/>
      <c r="H30" s="84"/>
    </row>
    <row r="31" spans="1:8" ht="18" x14ac:dyDescent="0.3">
      <c r="A31" s="87" t="s">
        <v>315</v>
      </c>
      <c r="B31" s="110" t="s">
        <v>27</v>
      </c>
      <c r="C31" s="124"/>
      <c r="D31" s="124"/>
      <c r="E31" s="125">
        <f t="shared" si="0"/>
        <v>0</v>
      </c>
      <c r="F31" s="84"/>
      <c r="G31" s="84"/>
      <c r="H31" s="84"/>
    </row>
    <row r="32" spans="1:8" ht="18" x14ac:dyDescent="0.3">
      <c r="A32" s="87" t="s">
        <v>232</v>
      </c>
      <c r="B32" s="110" t="s">
        <v>46</v>
      </c>
      <c r="C32" s="124"/>
      <c r="D32" s="124"/>
      <c r="E32" s="125">
        <f t="shared" si="0"/>
        <v>0</v>
      </c>
      <c r="F32" s="84"/>
      <c r="G32" s="84"/>
      <c r="H32" s="84"/>
    </row>
    <row r="33" spans="1:8" ht="18" x14ac:dyDescent="0.3">
      <c r="A33" s="87" t="s">
        <v>233</v>
      </c>
      <c r="B33" s="110" t="s">
        <v>89</v>
      </c>
      <c r="C33" s="124"/>
      <c r="D33" s="124"/>
      <c r="E33" s="125">
        <f t="shared" si="0"/>
        <v>0</v>
      </c>
      <c r="F33" s="84"/>
      <c r="G33" s="84"/>
      <c r="H33" s="84"/>
    </row>
    <row r="34" spans="1:8" ht="18" x14ac:dyDescent="0.3">
      <c r="A34" s="87" t="s">
        <v>234</v>
      </c>
      <c r="B34" s="110" t="s">
        <v>77</v>
      </c>
      <c r="C34" s="124"/>
      <c r="D34" s="124"/>
      <c r="E34" s="125">
        <f t="shared" si="0"/>
        <v>0</v>
      </c>
      <c r="F34" s="127"/>
      <c r="G34" s="127"/>
      <c r="H34" s="127"/>
    </row>
    <row r="35" spans="1:8" ht="18" x14ac:dyDescent="0.3">
      <c r="A35" s="87" t="s">
        <v>235</v>
      </c>
      <c r="B35" s="110" t="s">
        <v>58</v>
      </c>
      <c r="C35" s="124"/>
      <c r="D35" s="124"/>
      <c r="E35" s="125">
        <f t="shared" si="0"/>
        <v>0</v>
      </c>
      <c r="F35" s="84"/>
      <c r="G35" s="84"/>
      <c r="H35" s="84"/>
    </row>
    <row r="36" spans="1:8" ht="18" x14ac:dyDescent="0.3">
      <c r="A36" s="87" t="s">
        <v>236</v>
      </c>
      <c r="B36" s="110" t="s">
        <v>11</v>
      </c>
      <c r="C36" s="124"/>
      <c r="D36" s="124"/>
      <c r="E36" s="125">
        <f t="shared" si="0"/>
        <v>0</v>
      </c>
      <c r="F36" s="84"/>
      <c r="G36" s="84"/>
      <c r="H36" s="84"/>
    </row>
    <row r="37" spans="1:8" ht="18" x14ac:dyDescent="0.3">
      <c r="A37" s="87" t="s">
        <v>237</v>
      </c>
      <c r="B37" s="110" t="s">
        <v>85</v>
      </c>
      <c r="C37" s="124"/>
      <c r="D37" s="124"/>
      <c r="E37" s="125">
        <f t="shared" si="0"/>
        <v>0</v>
      </c>
      <c r="F37" s="84"/>
      <c r="G37" s="84"/>
      <c r="H37" s="84"/>
    </row>
    <row r="38" spans="1:8" ht="18" x14ac:dyDescent="0.3">
      <c r="A38" s="87" t="s">
        <v>238</v>
      </c>
      <c r="B38" s="110" t="s">
        <v>38</v>
      </c>
      <c r="C38" s="124"/>
      <c r="D38" s="124"/>
      <c r="E38" s="125">
        <f t="shared" si="0"/>
        <v>0</v>
      </c>
      <c r="F38" s="84"/>
      <c r="G38" s="84"/>
      <c r="H38" s="84"/>
    </row>
    <row r="39" spans="1:8" ht="18" x14ac:dyDescent="0.3">
      <c r="A39" s="87" t="s">
        <v>239</v>
      </c>
      <c r="B39" s="110" t="s">
        <v>79</v>
      </c>
      <c r="C39" s="124"/>
      <c r="D39" s="124"/>
      <c r="E39" s="125">
        <f t="shared" si="0"/>
        <v>0</v>
      </c>
      <c r="F39" s="84"/>
      <c r="G39" s="84"/>
      <c r="H39" s="84"/>
    </row>
    <row r="40" spans="1:8" ht="18" x14ac:dyDescent="0.3">
      <c r="A40" s="87" t="s">
        <v>240</v>
      </c>
      <c r="B40" s="110" t="s">
        <v>102</v>
      </c>
      <c r="C40" s="124"/>
      <c r="D40" s="124"/>
      <c r="E40" s="125">
        <f t="shared" si="0"/>
        <v>0</v>
      </c>
      <c r="F40" s="84"/>
      <c r="G40" s="84"/>
      <c r="H40" s="84"/>
    </row>
    <row r="41" spans="1:8" ht="18" x14ac:dyDescent="0.3">
      <c r="A41" s="87" t="s">
        <v>314</v>
      </c>
      <c r="B41" s="82" t="s">
        <v>48</v>
      </c>
      <c r="C41" s="126"/>
      <c r="D41" s="124"/>
      <c r="E41" s="125">
        <f t="shared" si="0"/>
        <v>0</v>
      </c>
      <c r="F41" s="84"/>
      <c r="G41" s="84"/>
      <c r="H41" s="84"/>
    </row>
    <row r="42" spans="1:8" ht="18" x14ac:dyDescent="0.3">
      <c r="A42" s="87" t="s">
        <v>242</v>
      </c>
      <c r="B42" s="110" t="s">
        <v>76</v>
      </c>
      <c r="C42" s="124"/>
      <c r="D42" s="124"/>
      <c r="E42" s="125">
        <f t="shared" si="0"/>
        <v>0</v>
      </c>
      <c r="F42" s="84"/>
      <c r="G42" s="84"/>
      <c r="H42" s="84"/>
    </row>
    <row r="43" spans="1:8" ht="18" x14ac:dyDescent="0.3">
      <c r="A43" s="87" t="s">
        <v>243</v>
      </c>
      <c r="B43" s="110" t="s">
        <v>40</v>
      </c>
      <c r="C43" s="124"/>
      <c r="D43" s="124"/>
      <c r="E43" s="125">
        <f t="shared" si="0"/>
        <v>0</v>
      </c>
      <c r="F43" s="84"/>
      <c r="G43" s="84"/>
      <c r="H43" s="84"/>
    </row>
    <row r="44" spans="1:8" ht="18" x14ac:dyDescent="0.3">
      <c r="A44" s="87" t="s">
        <v>244</v>
      </c>
      <c r="B44" s="110" t="s">
        <v>22</v>
      </c>
      <c r="C44" s="124"/>
      <c r="D44" s="124"/>
      <c r="E44" s="125">
        <f t="shared" si="0"/>
        <v>0</v>
      </c>
      <c r="F44" s="84"/>
      <c r="G44" s="84"/>
      <c r="H44" s="84"/>
    </row>
    <row r="45" spans="1:8" ht="18" x14ac:dyDescent="0.3">
      <c r="A45" s="87" t="s">
        <v>245</v>
      </c>
      <c r="B45" s="110" t="s">
        <v>59</v>
      </c>
      <c r="C45" s="124"/>
      <c r="D45" s="124"/>
      <c r="E45" s="125">
        <f t="shared" si="0"/>
        <v>0</v>
      </c>
      <c r="F45" s="84"/>
      <c r="G45" s="84"/>
      <c r="H45" s="84"/>
    </row>
    <row r="46" spans="1:8" ht="18" x14ac:dyDescent="0.3">
      <c r="A46" s="87" t="s">
        <v>246</v>
      </c>
      <c r="B46" s="110" t="s">
        <v>105</v>
      </c>
      <c r="C46" s="124"/>
      <c r="D46" s="124"/>
      <c r="E46" s="125">
        <f t="shared" si="0"/>
        <v>0</v>
      </c>
      <c r="F46" s="84"/>
      <c r="G46" s="84"/>
      <c r="H46" s="84"/>
    </row>
    <row r="47" spans="1:8" ht="18" x14ac:dyDescent="0.3">
      <c r="A47" s="87" t="s">
        <v>247</v>
      </c>
      <c r="B47" s="110" t="s">
        <v>36</v>
      </c>
      <c r="C47" s="83"/>
      <c r="D47" s="83"/>
      <c r="E47" s="83">
        <f t="shared" si="0"/>
        <v>0</v>
      </c>
      <c r="F47" s="84"/>
      <c r="G47" s="84"/>
      <c r="H47" s="84"/>
    </row>
    <row r="48" spans="1:8" ht="18" x14ac:dyDescent="0.3">
      <c r="A48" s="87" t="s">
        <v>248</v>
      </c>
      <c r="B48" s="110" t="s">
        <v>28</v>
      </c>
      <c r="C48" s="124"/>
      <c r="D48" s="124"/>
      <c r="E48" s="125">
        <f t="shared" si="0"/>
        <v>0</v>
      </c>
      <c r="F48" s="84"/>
      <c r="G48" s="84"/>
      <c r="H48" s="84"/>
    </row>
    <row r="49" spans="1:8" ht="18" x14ac:dyDescent="0.3">
      <c r="A49" s="87" t="s">
        <v>249</v>
      </c>
      <c r="B49" s="110" t="s">
        <v>74</v>
      </c>
      <c r="C49" s="124"/>
      <c r="D49" s="124"/>
      <c r="E49" s="125">
        <f t="shared" si="0"/>
        <v>0</v>
      </c>
      <c r="F49" s="84"/>
      <c r="G49" s="84"/>
      <c r="H49" s="84"/>
    </row>
    <row r="50" spans="1:8" ht="18" x14ac:dyDescent="0.3">
      <c r="A50" s="87" t="s">
        <v>250</v>
      </c>
      <c r="B50" s="110" t="s">
        <v>100</v>
      </c>
      <c r="C50" s="124"/>
      <c r="D50" s="124"/>
      <c r="E50" s="125">
        <f t="shared" si="0"/>
        <v>0</v>
      </c>
      <c r="F50" s="84"/>
      <c r="G50" s="84"/>
      <c r="H50" s="84"/>
    </row>
    <row r="51" spans="1:8" ht="18" x14ac:dyDescent="0.3">
      <c r="A51" s="87" t="s">
        <v>313</v>
      </c>
      <c r="B51" s="110" t="s">
        <v>90</v>
      </c>
      <c r="C51" s="124"/>
      <c r="D51" s="124"/>
      <c r="E51" s="125">
        <f t="shared" si="0"/>
        <v>0</v>
      </c>
      <c r="F51" s="84"/>
      <c r="G51" s="84"/>
      <c r="H51" s="84"/>
    </row>
    <row r="52" spans="1:8" ht="18" x14ac:dyDescent="0.3">
      <c r="A52" s="87" t="s">
        <v>252</v>
      </c>
      <c r="B52" s="110" t="s">
        <v>88</v>
      </c>
      <c r="C52" s="124"/>
      <c r="D52" s="124"/>
      <c r="E52" s="125">
        <f t="shared" si="0"/>
        <v>0</v>
      </c>
      <c r="F52" s="84"/>
      <c r="G52" s="84"/>
      <c r="H52" s="84"/>
    </row>
    <row r="53" spans="1:8" ht="18" x14ac:dyDescent="0.3">
      <c r="A53" s="87" t="s">
        <v>253</v>
      </c>
      <c r="B53" s="113" t="s">
        <v>31</v>
      </c>
      <c r="C53" s="126"/>
      <c r="D53" s="126"/>
      <c r="E53" s="83">
        <f t="shared" si="0"/>
        <v>0</v>
      </c>
      <c r="F53" s="84"/>
      <c r="G53" s="84"/>
      <c r="H53" s="84"/>
    </row>
    <row r="54" spans="1:8" ht="18" x14ac:dyDescent="0.3">
      <c r="A54" s="87" t="s">
        <v>254</v>
      </c>
      <c r="B54" s="110" t="s">
        <v>15</v>
      </c>
      <c r="C54" s="126"/>
      <c r="D54" s="124"/>
      <c r="E54" s="125">
        <f t="shared" si="0"/>
        <v>0</v>
      </c>
      <c r="F54" s="84"/>
      <c r="G54" s="84"/>
      <c r="H54" s="84"/>
    </row>
    <row r="55" spans="1:8" ht="18" x14ac:dyDescent="0.3">
      <c r="A55" s="87" t="s">
        <v>255</v>
      </c>
      <c r="B55" s="110" t="s">
        <v>37</v>
      </c>
      <c r="C55" s="124"/>
      <c r="D55" s="124"/>
      <c r="E55" s="125">
        <f t="shared" si="0"/>
        <v>0</v>
      </c>
      <c r="F55" s="84"/>
      <c r="G55" s="84"/>
      <c r="H55" s="84"/>
    </row>
    <row r="56" spans="1:8" ht="18" x14ac:dyDescent="0.3">
      <c r="A56" s="87" t="s">
        <v>256</v>
      </c>
      <c r="B56" s="110" t="s">
        <v>62</v>
      </c>
      <c r="C56" s="124"/>
      <c r="D56" s="124"/>
      <c r="E56" s="125">
        <f t="shared" si="0"/>
        <v>0</v>
      </c>
      <c r="F56" s="84"/>
      <c r="G56" s="84"/>
      <c r="H56" s="84"/>
    </row>
    <row r="57" spans="1:8" ht="18" x14ac:dyDescent="0.3">
      <c r="A57" s="87" t="s">
        <v>257</v>
      </c>
      <c r="B57" s="110" t="s">
        <v>86</v>
      </c>
      <c r="C57" s="124"/>
      <c r="D57" s="124"/>
      <c r="E57" s="125">
        <f t="shared" si="0"/>
        <v>0</v>
      </c>
      <c r="F57" s="84"/>
      <c r="G57" s="84"/>
      <c r="H57" s="84"/>
    </row>
    <row r="58" spans="1:8" ht="18" x14ac:dyDescent="0.3">
      <c r="A58" s="87" t="s">
        <v>258</v>
      </c>
      <c r="B58" s="110" t="s">
        <v>56</v>
      </c>
      <c r="C58" s="124"/>
      <c r="D58" s="124"/>
      <c r="E58" s="125">
        <f t="shared" si="0"/>
        <v>0</v>
      </c>
      <c r="F58" s="84"/>
      <c r="G58" s="84"/>
      <c r="H58" s="84"/>
    </row>
    <row r="59" spans="1:8" ht="18" x14ac:dyDescent="0.3">
      <c r="A59" s="87" t="s">
        <v>259</v>
      </c>
      <c r="B59" s="110" t="s">
        <v>84</v>
      </c>
      <c r="C59" s="124"/>
      <c r="D59" s="124"/>
      <c r="E59" s="125">
        <f t="shared" si="0"/>
        <v>0</v>
      </c>
      <c r="F59" s="84"/>
      <c r="G59" s="84"/>
      <c r="H59" s="84"/>
    </row>
    <row r="60" spans="1:8" ht="18" x14ac:dyDescent="0.3">
      <c r="A60" s="87" t="s">
        <v>260</v>
      </c>
      <c r="B60" s="82" t="s">
        <v>52</v>
      </c>
      <c r="C60" s="126"/>
      <c r="D60" s="124"/>
      <c r="E60" s="125">
        <f t="shared" si="0"/>
        <v>0</v>
      </c>
      <c r="F60" s="84"/>
      <c r="G60" s="84"/>
      <c r="H60" s="84"/>
    </row>
    <row r="61" spans="1:8" ht="18" x14ac:dyDescent="0.3">
      <c r="A61" s="87" t="s">
        <v>312</v>
      </c>
      <c r="B61" s="110" t="s">
        <v>17</v>
      </c>
      <c r="C61" s="124"/>
      <c r="D61" s="124"/>
      <c r="E61" s="125">
        <f t="shared" si="0"/>
        <v>0</v>
      </c>
      <c r="F61" s="84"/>
      <c r="G61" s="84"/>
      <c r="H61" s="84"/>
    </row>
    <row r="62" spans="1:8" ht="18" x14ac:dyDescent="0.3">
      <c r="A62" s="87" t="s">
        <v>262</v>
      </c>
      <c r="B62" s="110" t="s">
        <v>96</v>
      </c>
      <c r="C62" s="124"/>
      <c r="D62" s="124"/>
      <c r="E62" s="125">
        <f t="shared" si="0"/>
        <v>0</v>
      </c>
      <c r="F62" s="84"/>
      <c r="G62" s="84"/>
      <c r="H62" s="84"/>
    </row>
    <row r="63" spans="1:8" ht="18" x14ac:dyDescent="0.3">
      <c r="A63" s="87" t="s">
        <v>263</v>
      </c>
      <c r="B63" s="110" t="s">
        <v>33</v>
      </c>
      <c r="C63" s="126"/>
      <c r="D63" s="124"/>
      <c r="E63" s="125">
        <f t="shared" si="0"/>
        <v>0</v>
      </c>
      <c r="F63" s="84"/>
      <c r="G63" s="84"/>
      <c r="H63" s="84"/>
    </row>
    <row r="64" spans="1:8" ht="18" x14ac:dyDescent="0.3">
      <c r="A64" s="87" t="s">
        <v>264</v>
      </c>
      <c r="B64" s="110" t="s">
        <v>78</v>
      </c>
      <c r="C64" s="124"/>
      <c r="D64" s="124"/>
      <c r="E64" s="125">
        <f t="shared" si="0"/>
        <v>0</v>
      </c>
      <c r="F64" s="84"/>
      <c r="G64" s="84"/>
      <c r="H64" s="84"/>
    </row>
    <row r="65" spans="1:8" ht="18" x14ac:dyDescent="0.3">
      <c r="A65" s="87" t="s">
        <v>265</v>
      </c>
      <c r="B65" s="110" t="s">
        <v>72</v>
      </c>
      <c r="C65" s="124"/>
      <c r="D65" s="124"/>
      <c r="E65" s="125">
        <f t="shared" si="0"/>
        <v>0</v>
      </c>
      <c r="F65" s="84"/>
      <c r="G65" s="84"/>
      <c r="H65" s="84"/>
    </row>
    <row r="66" spans="1:8" ht="18" x14ac:dyDescent="0.3">
      <c r="A66" s="87" t="s">
        <v>266</v>
      </c>
      <c r="B66" s="110" t="s">
        <v>39</v>
      </c>
      <c r="C66" s="124"/>
      <c r="D66" s="124"/>
      <c r="E66" s="125">
        <f t="shared" si="0"/>
        <v>0</v>
      </c>
      <c r="F66" s="84"/>
      <c r="G66" s="84"/>
      <c r="H66" s="84"/>
    </row>
    <row r="67" spans="1:8" ht="18" x14ac:dyDescent="0.3">
      <c r="A67" s="87" t="s">
        <v>267</v>
      </c>
      <c r="B67" s="82" t="s">
        <v>49</v>
      </c>
      <c r="C67" s="126"/>
      <c r="D67" s="124"/>
      <c r="E67" s="125">
        <f t="shared" si="0"/>
        <v>0</v>
      </c>
      <c r="F67" s="84"/>
      <c r="G67" s="84"/>
      <c r="H67" s="84"/>
    </row>
    <row r="68" spans="1:8" ht="18" x14ac:dyDescent="0.3">
      <c r="A68" s="87" t="s">
        <v>268</v>
      </c>
      <c r="B68" s="110" t="s">
        <v>82</v>
      </c>
      <c r="C68" s="124"/>
      <c r="D68" s="124"/>
      <c r="E68" s="125">
        <f t="shared" si="0"/>
        <v>0</v>
      </c>
      <c r="F68" s="84"/>
      <c r="G68" s="84"/>
      <c r="H68" s="84"/>
    </row>
    <row r="69" spans="1:8" ht="18" x14ac:dyDescent="0.3">
      <c r="A69" s="87" t="s">
        <v>269</v>
      </c>
      <c r="B69" s="110" t="s">
        <v>68</v>
      </c>
      <c r="C69" s="124"/>
      <c r="D69" s="124"/>
      <c r="E69" s="125">
        <f t="shared" si="0"/>
        <v>0</v>
      </c>
      <c r="F69" s="84"/>
      <c r="G69" s="84"/>
      <c r="H69" s="84"/>
    </row>
    <row r="70" spans="1:8" ht="18" x14ac:dyDescent="0.3">
      <c r="A70" s="87" t="s">
        <v>270</v>
      </c>
      <c r="B70" s="110" t="s">
        <v>70</v>
      </c>
      <c r="C70" s="124"/>
      <c r="D70" s="124"/>
      <c r="E70" s="125">
        <f t="shared" si="0"/>
        <v>0</v>
      </c>
      <c r="F70" s="84"/>
      <c r="G70" s="84"/>
      <c r="H70" s="84"/>
    </row>
    <row r="71" spans="1:8" ht="18" x14ac:dyDescent="0.3">
      <c r="A71" s="87" t="s">
        <v>389</v>
      </c>
      <c r="B71" s="110" t="s">
        <v>19</v>
      </c>
      <c r="C71" s="124"/>
      <c r="D71" s="124"/>
      <c r="E71" s="125">
        <f t="shared" si="0"/>
        <v>0</v>
      </c>
      <c r="F71" s="127"/>
      <c r="G71" s="127"/>
      <c r="H71" s="127"/>
    </row>
    <row r="72" spans="1:8" ht="18" x14ac:dyDescent="0.3">
      <c r="A72" s="87" t="s">
        <v>272</v>
      </c>
      <c r="B72" s="110" t="s">
        <v>66</v>
      </c>
      <c r="C72" s="124"/>
      <c r="D72" s="124"/>
      <c r="E72" s="125">
        <f t="shared" si="0"/>
        <v>0</v>
      </c>
      <c r="F72" s="84"/>
      <c r="G72" s="84"/>
      <c r="H72" s="84"/>
    </row>
    <row r="73" spans="1:8" ht="18" x14ac:dyDescent="0.3">
      <c r="A73" s="87" t="s">
        <v>273</v>
      </c>
      <c r="B73" s="110" t="s">
        <v>34</v>
      </c>
      <c r="C73" s="126"/>
      <c r="D73" s="124"/>
      <c r="E73" s="125">
        <f t="shared" si="0"/>
        <v>0</v>
      </c>
      <c r="F73" s="84"/>
      <c r="G73" s="84"/>
      <c r="H73" s="84"/>
    </row>
    <row r="74" spans="1:8" ht="18" x14ac:dyDescent="0.3">
      <c r="A74" s="87" t="s">
        <v>274</v>
      </c>
      <c r="B74" s="110" t="s">
        <v>54</v>
      </c>
      <c r="C74" s="124"/>
      <c r="D74" s="124"/>
      <c r="E74" s="125">
        <f t="shared" si="0"/>
        <v>0</v>
      </c>
      <c r="F74" s="84"/>
      <c r="G74" s="84"/>
      <c r="H74" s="84"/>
    </row>
    <row r="75" spans="1:8" ht="18" x14ac:dyDescent="0.3">
      <c r="A75" s="87" t="s">
        <v>275</v>
      </c>
      <c r="B75" s="110" t="s">
        <v>29</v>
      </c>
      <c r="C75" s="126"/>
      <c r="D75" s="124"/>
      <c r="E75" s="125">
        <f t="shared" ref="E75:E109" si="1">+(D75*2+C75)/3</f>
        <v>0</v>
      </c>
      <c r="F75" s="84"/>
      <c r="G75" s="84"/>
      <c r="H75" s="84"/>
    </row>
    <row r="76" spans="1:8" ht="18" x14ac:dyDescent="0.3">
      <c r="A76" s="87" t="s">
        <v>276</v>
      </c>
      <c r="B76" s="110" t="s">
        <v>65</v>
      </c>
      <c r="C76" s="124"/>
      <c r="D76" s="124"/>
      <c r="E76" s="125">
        <f t="shared" si="1"/>
        <v>0</v>
      </c>
      <c r="F76" s="84"/>
      <c r="G76" s="84"/>
      <c r="H76" s="84"/>
    </row>
    <row r="77" spans="1:8" ht="18" x14ac:dyDescent="0.3">
      <c r="A77" s="87" t="s">
        <v>277</v>
      </c>
      <c r="B77" s="110" t="s">
        <v>98</v>
      </c>
      <c r="C77" s="126"/>
      <c r="D77" s="124"/>
      <c r="E77" s="125">
        <f t="shared" si="1"/>
        <v>0</v>
      </c>
      <c r="F77" s="84"/>
      <c r="G77" s="84"/>
      <c r="H77" s="84"/>
    </row>
    <row r="78" spans="1:8" ht="18" x14ac:dyDescent="0.3">
      <c r="A78" s="87" t="s">
        <v>278</v>
      </c>
      <c r="B78" s="110" t="s">
        <v>95</v>
      </c>
      <c r="C78" s="124"/>
      <c r="D78" s="124"/>
      <c r="E78" s="125">
        <f t="shared" si="1"/>
        <v>0</v>
      </c>
      <c r="F78" s="84"/>
      <c r="G78" s="84"/>
      <c r="H78" s="84"/>
    </row>
    <row r="79" spans="1:8" ht="18" x14ac:dyDescent="0.3">
      <c r="A79" s="87" t="s">
        <v>279</v>
      </c>
      <c r="B79" s="110" t="s">
        <v>92</v>
      </c>
      <c r="C79" s="124"/>
      <c r="D79" s="124"/>
      <c r="E79" s="125">
        <f t="shared" si="1"/>
        <v>0</v>
      </c>
      <c r="F79" s="84"/>
      <c r="G79" s="84"/>
      <c r="H79" s="84"/>
    </row>
    <row r="80" spans="1:8" ht="18" x14ac:dyDescent="0.3">
      <c r="A80" s="87" t="s">
        <v>280</v>
      </c>
      <c r="B80" s="110" t="s">
        <v>20</v>
      </c>
      <c r="C80" s="124"/>
      <c r="D80" s="124"/>
      <c r="E80" s="125">
        <f t="shared" si="1"/>
        <v>0</v>
      </c>
      <c r="F80" s="84"/>
      <c r="G80" s="84"/>
      <c r="H80" s="84"/>
    </row>
    <row r="81" spans="1:8" ht="18" x14ac:dyDescent="0.3">
      <c r="A81" s="87" t="s">
        <v>316</v>
      </c>
      <c r="B81" s="110" t="s">
        <v>91</v>
      </c>
      <c r="C81" s="124"/>
      <c r="D81" s="124"/>
      <c r="E81" s="125">
        <f t="shared" si="1"/>
        <v>0</v>
      </c>
      <c r="F81" s="84"/>
      <c r="G81" s="84"/>
      <c r="H81" s="84"/>
    </row>
    <row r="82" spans="1:8" ht="18" x14ac:dyDescent="0.3">
      <c r="A82" s="87" t="s">
        <v>282</v>
      </c>
      <c r="B82" s="110" t="s">
        <v>10</v>
      </c>
      <c r="C82" s="124"/>
      <c r="D82" s="124"/>
      <c r="E82" s="125">
        <f t="shared" si="1"/>
        <v>0</v>
      </c>
      <c r="F82" s="84"/>
      <c r="G82" s="84"/>
      <c r="H82" s="84"/>
    </row>
    <row r="83" spans="1:8" ht="18" x14ac:dyDescent="0.3">
      <c r="A83" s="87" t="s">
        <v>283</v>
      </c>
      <c r="B83" s="110" t="s">
        <v>69</v>
      </c>
      <c r="C83" s="124"/>
      <c r="D83" s="124"/>
      <c r="E83" s="125">
        <f t="shared" si="1"/>
        <v>0</v>
      </c>
      <c r="F83" s="84"/>
      <c r="G83" s="84"/>
      <c r="H83" s="84"/>
    </row>
    <row r="84" spans="1:8" ht="18" x14ac:dyDescent="0.3">
      <c r="A84" s="87" t="s">
        <v>284</v>
      </c>
      <c r="B84" s="110" t="s">
        <v>67</v>
      </c>
      <c r="C84" s="124"/>
      <c r="D84" s="124"/>
      <c r="E84" s="125">
        <f t="shared" si="1"/>
        <v>0</v>
      </c>
      <c r="F84" s="84"/>
      <c r="G84" s="84"/>
      <c r="H84" s="84"/>
    </row>
    <row r="85" spans="1:8" ht="18" x14ac:dyDescent="0.3">
      <c r="A85" s="87" t="s">
        <v>285</v>
      </c>
      <c r="B85" s="110" t="s">
        <v>26</v>
      </c>
      <c r="C85" s="124"/>
      <c r="D85" s="124"/>
      <c r="E85" s="125">
        <f t="shared" si="1"/>
        <v>0</v>
      </c>
      <c r="F85" s="84"/>
      <c r="G85" s="84"/>
      <c r="H85" s="84"/>
    </row>
    <row r="86" spans="1:8" ht="18" x14ac:dyDescent="0.3">
      <c r="A86" s="87" t="s">
        <v>286</v>
      </c>
      <c r="B86" s="110" t="s">
        <v>24</v>
      </c>
      <c r="C86" s="124"/>
      <c r="D86" s="124"/>
      <c r="E86" s="125">
        <f t="shared" si="1"/>
        <v>0</v>
      </c>
      <c r="F86" s="84"/>
      <c r="G86" s="84"/>
      <c r="H86" s="84"/>
    </row>
    <row r="87" spans="1:8" ht="18" x14ac:dyDescent="0.3">
      <c r="A87" s="87" t="s">
        <v>287</v>
      </c>
      <c r="B87" s="110" t="s">
        <v>47</v>
      </c>
      <c r="C87" s="124"/>
      <c r="D87" s="124"/>
      <c r="E87" s="125">
        <f t="shared" si="1"/>
        <v>0</v>
      </c>
      <c r="F87" s="84"/>
      <c r="G87" s="84"/>
      <c r="H87" s="84"/>
    </row>
    <row r="88" spans="1:8" ht="18" x14ac:dyDescent="0.3">
      <c r="A88" s="87" t="s">
        <v>288</v>
      </c>
      <c r="B88" s="110" t="s">
        <v>94</v>
      </c>
      <c r="C88" s="124"/>
      <c r="D88" s="124"/>
      <c r="E88" s="125">
        <f t="shared" si="1"/>
        <v>0</v>
      </c>
      <c r="F88" s="84"/>
      <c r="G88" s="84"/>
      <c r="H88" s="84"/>
    </row>
    <row r="89" spans="1:8" ht="18" x14ac:dyDescent="0.3">
      <c r="A89" s="87" t="s">
        <v>289</v>
      </c>
      <c r="B89" s="110" t="s">
        <v>99</v>
      </c>
      <c r="C89" s="124"/>
      <c r="D89" s="124"/>
      <c r="E89" s="125">
        <f t="shared" si="1"/>
        <v>0</v>
      </c>
      <c r="F89" s="84"/>
      <c r="G89" s="84"/>
      <c r="H89" s="84"/>
    </row>
    <row r="90" spans="1:8" ht="18" x14ac:dyDescent="0.3">
      <c r="A90" s="87" t="s">
        <v>290</v>
      </c>
      <c r="B90" s="110" t="s">
        <v>75</v>
      </c>
      <c r="C90" s="124"/>
      <c r="D90" s="124"/>
      <c r="E90" s="125">
        <f t="shared" si="1"/>
        <v>0</v>
      </c>
      <c r="F90" s="84"/>
      <c r="G90" s="84"/>
      <c r="H90" s="84"/>
    </row>
    <row r="91" spans="1:8" ht="18" x14ac:dyDescent="0.3">
      <c r="A91" s="87" t="s">
        <v>388</v>
      </c>
      <c r="B91" s="82" t="s">
        <v>9</v>
      </c>
      <c r="C91" s="124"/>
      <c r="D91" s="124"/>
      <c r="E91" s="125">
        <f t="shared" si="1"/>
        <v>0</v>
      </c>
      <c r="F91" s="84"/>
      <c r="G91" s="84"/>
      <c r="H91" s="84"/>
    </row>
    <row r="92" spans="1:8" ht="18" x14ac:dyDescent="0.3">
      <c r="A92" s="87" t="s">
        <v>292</v>
      </c>
      <c r="B92" s="110" t="s">
        <v>16</v>
      </c>
      <c r="C92" s="124"/>
      <c r="D92" s="124"/>
      <c r="E92" s="125">
        <f t="shared" si="1"/>
        <v>0</v>
      </c>
      <c r="F92" s="84"/>
      <c r="G92" s="84"/>
      <c r="H92" s="84"/>
    </row>
    <row r="93" spans="1:8" ht="18" x14ac:dyDescent="0.3">
      <c r="A93" s="87" t="s">
        <v>293</v>
      </c>
      <c r="B93" s="110" t="s">
        <v>101</v>
      </c>
      <c r="C93" s="124"/>
      <c r="D93" s="124"/>
      <c r="E93" s="125">
        <f t="shared" si="1"/>
        <v>0</v>
      </c>
      <c r="F93" s="84"/>
      <c r="G93" s="84"/>
      <c r="H93" s="84"/>
    </row>
    <row r="94" spans="1:8" ht="18" x14ac:dyDescent="0.3">
      <c r="A94" s="87" t="s">
        <v>294</v>
      </c>
      <c r="B94" s="82" t="s">
        <v>64</v>
      </c>
      <c r="C94" s="124"/>
      <c r="D94" s="124"/>
      <c r="E94" s="125">
        <f t="shared" si="1"/>
        <v>0</v>
      </c>
      <c r="F94" s="84"/>
      <c r="G94" s="84"/>
      <c r="H94" s="84"/>
    </row>
    <row r="95" spans="1:8" ht="18" x14ac:dyDescent="0.3">
      <c r="A95" s="87" t="s">
        <v>295</v>
      </c>
      <c r="B95" s="110" t="s">
        <v>104</v>
      </c>
      <c r="C95" s="124"/>
      <c r="D95" s="124"/>
      <c r="E95" s="125">
        <f t="shared" si="1"/>
        <v>0</v>
      </c>
      <c r="F95" s="84"/>
      <c r="G95" s="84"/>
      <c r="H95" s="84"/>
    </row>
    <row r="96" spans="1:8" ht="18" x14ac:dyDescent="0.3">
      <c r="A96" s="87" t="s">
        <v>296</v>
      </c>
      <c r="B96" s="110" t="s">
        <v>411</v>
      </c>
      <c r="C96" s="124"/>
      <c r="D96" s="124"/>
      <c r="E96" s="125">
        <f t="shared" si="1"/>
        <v>0</v>
      </c>
      <c r="F96" s="84"/>
      <c r="G96" s="84"/>
      <c r="H96" s="84"/>
    </row>
    <row r="97" spans="1:8" ht="18" x14ac:dyDescent="0.3">
      <c r="A97" s="87" t="s">
        <v>297</v>
      </c>
      <c r="B97" s="110" t="s">
        <v>32</v>
      </c>
      <c r="C97" s="126"/>
      <c r="D97" s="124"/>
      <c r="E97" s="125">
        <f t="shared" si="1"/>
        <v>0</v>
      </c>
      <c r="F97" s="84"/>
      <c r="G97" s="84"/>
      <c r="H97" s="84"/>
    </row>
    <row r="98" spans="1:8" ht="18" x14ac:dyDescent="0.3">
      <c r="A98" s="87" t="s">
        <v>298</v>
      </c>
      <c r="B98" s="82" t="s">
        <v>18</v>
      </c>
      <c r="C98" s="126"/>
      <c r="D98" s="124"/>
      <c r="E98" s="125">
        <f t="shared" si="1"/>
        <v>0</v>
      </c>
      <c r="F98" s="84"/>
      <c r="G98" s="84"/>
      <c r="H98" s="84"/>
    </row>
    <row r="99" spans="1:8" ht="18" x14ac:dyDescent="0.3">
      <c r="A99" s="87" t="s">
        <v>299</v>
      </c>
      <c r="B99" s="110" t="s">
        <v>103</v>
      </c>
      <c r="C99" s="124"/>
      <c r="D99" s="124"/>
      <c r="E99" s="125">
        <f t="shared" si="1"/>
        <v>0</v>
      </c>
      <c r="F99" s="84"/>
      <c r="G99" s="84"/>
      <c r="H99" s="84"/>
    </row>
    <row r="100" spans="1:8" ht="18" x14ac:dyDescent="0.3">
      <c r="A100" s="87" t="s">
        <v>300</v>
      </c>
      <c r="B100" s="110" t="s">
        <v>93</v>
      </c>
      <c r="C100" s="124"/>
      <c r="D100" s="124"/>
      <c r="E100" s="125">
        <f t="shared" si="1"/>
        <v>0</v>
      </c>
      <c r="F100" s="84"/>
      <c r="G100" s="84"/>
      <c r="H100" s="84"/>
    </row>
    <row r="101" spans="1:8" ht="18" x14ac:dyDescent="0.3">
      <c r="A101" s="87" t="s">
        <v>441</v>
      </c>
      <c r="B101" s="110" t="s">
        <v>87</v>
      </c>
      <c r="C101" s="124"/>
      <c r="D101" s="124"/>
      <c r="E101" s="125">
        <f t="shared" si="1"/>
        <v>0</v>
      </c>
      <c r="F101" s="84"/>
      <c r="G101" s="84"/>
      <c r="H101" s="84"/>
    </row>
    <row r="102" spans="1:8" ht="18" x14ac:dyDescent="0.3">
      <c r="A102" s="87" t="s">
        <v>302</v>
      </c>
      <c r="B102" s="82" t="s">
        <v>51</v>
      </c>
      <c r="C102" s="126"/>
      <c r="D102" s="124"/>
      <c r="E102" s="125">
        <f t="shared" si="1"/>
        <v>0</v>
      </c>
      <c r="F102" s="84"/>
      <c r="G102" s="84"/>
      <c r="H102" s="84"/>
    </row>
    <row r="103" spans="1:8" ht="18" x14ac:dyDescent="0.3">
      <c r="A103" s="87" t="s">
        <v>303</v>
      </c>
      <c r="B103" s="110" t="s">
        <v>7</v>
      </c>
      <c r="C103" s="124"/>
      <c r="D103" s="124"/>
      <c r="E103" s="125">
        <f t="shared" si="1"/>
        <v>0</v>
      </c>
      <c r="F103" s="84"/>
      <c r="G103" s="84"/>
      <c r="H103" s="84"/>
    </row>
    <row r="104" spans="1:8" ht="18" x14ac:dyDescent="0.3">
      <c r="A104" s="87" t="s">
        <v>304</v>
      </c>
      <c r="B104" s="110" t="s">
        <v>35</v>
      </c>
      <c r="C104" s="126"/>
      <c r="D104" s="124"/>
      <c r="E104" s="125">
        <f t="shared" si="1"/>
        <v>0</v>
      </c>
      <c r="F104" s="84"/>
      <c r="G104" s="84"/>
      <c r="H104" s="84"/>
    </row>
    <row r="105" spans="1:8" ht="18" x14ac:dyDescent="0.3">
      <c r="A105" s="87" t="s">
        <v>305</v>
      </c>
      <c r="B105" s="110" t="s">
        <v>45</v>
      </c>
      <c r="C105" s="124"/>
      <c r="D105" s="124"/>
      <c r="E105" s="125">
        <f t="shared" si="1"/>
        <v>0</v>
      </c>
      <c r="F105" s="84"/>
      <c r="G105" s="84"/>
      <c r="H105" s="84"/>
    </row>
    <row r="106" spans="1:8" ht="18" x14ac:dyDescent="0.3">
      <c r="A106" s="87" t="s">
        <v>306</v>
      </c>
      <c r="B106" s="110" t="s">
        <v>80</v>
      </c>
      <c r="C106" s="124"/>
      <c r="D106" s="124"/>
      <c r="E106" s="125">
        <f t="shared" si="1"/>
        <v>0</v>
      </c>
      <c r="F106" s="84"/>
      <c r="G106" s="84"/>
      <c r="H106" s="84"/>
    </row>
    <row r="107" spans="1:8" ht="18" x14ac:dyDescent="0.3">
      <c r="A107" s="87" t="s">
        <v>307</v>
      </c>
      <c r="B107" s="110" t="s">
        <v>30</v>
      </c>
      <c r="C107" s="126"/>
      <c r="D107" s="124"/>
      <c r="E107" s="125">
        <f t="shared" si="1"/>
        <v>0</v>
      </c>
      <c r="F107" s="84"/>
      <c r="G107" s="84"/>
      <c r="H107" s="84"/>
    </row>
    <row r="108" spans="1:8" ht="18" x14ac:dyDescent="0.3">
      <c r="A108" s="87" t="s">
        <v>308</v>
      </c>
      <c r="B108" s="82" t="s">
        <v>23</v>
      </c>
      <c r="C108" s="124"/>
      <c r="D108" s="124"/>
      <c r="E108" s="125">
        <f t="shared" si="1"/>
        <v>0</v>
      </c>
      <c r="F108" s="84"/>
      <c r="G108" s="84"/>
      <c r="H108" s="84"/>
    </row>
    <row r="109" spans="1:8" ht="18" x14ac:dyDescent="0.3">
      <c r="A109" s="87" t="s">
        <v>309</v>
      </c>
      <c r="B109" s="110" t="s">
        <v>97</v>
      </c>
      <c r="C109" s="124"/>
      <c r="D109" s="124"/>
      <c r="E109" s="125">
        <f t="shared" si="1"/>
        <v>0</v>
      </c>
      <c r="F109" s="84"/>
      <c r="G109" s="84"/>
      <c r="H109" s="84"/>
    </row>
    <row r="110" spans="1:8" ht="16.5" x14ac:dyDescent="0.3">
      <c r="A110" s="76"/>
      <c r="B110" s="291" t="s">
        <v>392</v>
      </c>
      <c r="C110" s="291"/>
      <c r="D110" s="291"/>
      <c r="E110" s="291"/>
      <c r="F110" s="86"/>
      <c r="G110" s="86"/>
      <c r="H110" s="86"/>
    </row>
    <row r="111" spans="1:8" ht="16.5" x14ac:dyDescent="0.3">
      <c r="A111" s="76"/>
      <c r="B111" s="76"/>
      <c r="C111" s="76"/>
      <c r="D111" s="76"/>
      <c r="E111" s="76"/>
      <c r="F111" s="86"/>
      <c r="G111" s="86"/>
      <c r="H111" s="86"/>
    </row>
    <row r="112" spans="1:8" ht="16.5" x14ac:dyDescent="0.3">
      <c r="A112" s="76"/>
      <c r="B112" s="76"/>
      <c r="C112" s="87" t="s">
        <v>393</v>
      </c>
      <c r="D112" s="87" t="s">
        <v>394</v>
      </c>
      <c r="E112" s="87" t="s">
        <v>395</v>
      </c>
      <c r="F112" s="86"/>
      <c r="G112" s="86"/>
      <c r="H112" s="86"/>
    </row>
    <row r="113" spans="1:8" ht="16.5" x14ac:dyDescent="0.3">
      <c r="A113" s="76"/>
      <c r="B113" s="88" t="s">
        <v>396</v>
      </c>
      <c r="C113" s="89">
        <v>56</v>
      </c>
      <c r="D113" s="89">
        <v>43</v>
      </c>
      <c r="E113" s="89">
        <f>SUM(C113:D113)</f>
        <v>99</v>
      </c>
      <c r="F113" s="86"/>
      <c r="G113" s="86"/>
      <c r="H113" s="86"/>
    </row>
    <row r="114" spans="1:8" ht="16.5" x14ac:dyDescent="0.3">
      <c r="A114" s="76"/>
      <c r="B114" s="87" t="s">
        <v>397</v>
      </c>
      <c r="C114" s="89"/>
      <c r="D114" s="89"/>
      <c r="E114" s="89">
        <f>SUM(C114:D114)</f>
        <v>0</v>
      </c>
      <c r="F114" s="86"/>
      <c r="G114" s="86"/>
      <c r="H114" s="86"/>
    </row>
    <row r="115" spans="1:8" ht="16.5" x14ac:dyDescent="0.3">
      <c r="A115" s="76"/>
      <c r="B115" s="87" t="s">
        <v>398</v>
      </c>
      <c r="C115" s="89"/>
      <c r="D115" s="89"/>
      <c r="E115" s="89">
        <f>SUM(C115:D115)</f>
        <v>0</v>
      </c>
      <c r="F115" s="86"/>
      <c r="G115" s="86"/>
      <c r="H115" s="86"/>
    </row>
    <row r="116" spans="1:8" ht="16.5" x14ac:dyDescent="0.3">
      <c r="A116" s="76"/>
      <c r="B116" s="87" t="s">
        <v>399</v>
      </c>
      <c r="C116" s="89"/>
      <c r="D116" s="89"/>
      <c r="E116" s="89">
        <f>SUM(C116:D116)</f>
        <v>0</v>
      </c>
      <c r="F116" s="86"/>
      <c r="G116" s="86"/>
      <c r="H116" s="86"/>
    </row>
    <row r="117" spans="1:8" ht="16.5" x14ac:dyDescent="0.3">
      <c r="A117" s="76"/>
      <c r="B117" s="87" t="s">
        <v>400</v>
      </c>
      <c r="C117" s="89"/>
      <c r="D117" s="89"/>
      <c r="E117" s="89">
        <f>SUM(C117:D117)</f>
        <v>0</v>
      </c>
      <c r="F117" s="86"/>
      <c r="G117" s="86"/>
      <c r="H117" s="86"/>
    </row>
    <row r="118" spans="1:8" ht="16.5" x14ac:dyDescent="0.3">
      <c r="A118" s="76"/>
      <c r="B118" s="87" t="s">
        <v>401</v>
      </c>
      <c r="C118" s="90">
        <f>+C116/C113</f>
        <v>0</v>
      </c>
      <c r="D118" s="90">
        <f>+D116/D113</f>
        <v>0</v>
      </c>
      <c r="E118" s="90">
        <f>+E116/E113</f>
        <v>0</v>
      </c>
      <c r="F118" s="86"/>
      <c r="G118" s="86"/>
      <c r="H118" s="86"/>
    </row>
    <row r="119" spans="1:8" x14ac:dyDescent="0.25">
      <c r="A119" s="86"/>
      <c r="B119" s="86"/>
      <c r="C119" s="86"/>
      <c r="D119" s="86"/>
      <c r="E119" s="86"/>
      <c r="F119" s="86"/>
      <c r="G119" s="86"/>
      <c r="H119" s="86"/>
    </row>
    <row r="120" spans="1:8" ht="16.5" x14ac:dyDescent="0.3">
      <c r="A120" s="76"/>
      <c r="B120" s="76"/>
      <c r="C120" s="76"/>
      <c r="D120" s="292" t="s">
        <v>409</v>
      </c>
      <c r="E120" s="292"/>
      <c r="F120" s="76"/>
      <c r="G120" s="292"/>
      <c r="H120" s="292"/>
    </row>
    <row r="121" spans="1:8" ht="16.5" x14ac:dyDescent="0.3">
      <c r="A121" s="76"/>
      <c r="B121" s="76"/>
      <c r="C121" s="76"/>
      <c r="D121" s="76"/>
      <c r="E121" s="76"/>
      <c r="F121" s="76"/>
      <c r="G121" s="76"/>
      <c r="H121" s="76"/>
    </row>
    <row r="122" spans="1:8" ht="16.5" x14ac:dyDescent="0.3">
      <c r="A122" s="292" t="s">
        <v>403</v>
      </c>
      <c r="B122" s="292"/>
      <c r="C122" s="76"/>
      <c r="D122" s="292" t="s">
        <v>404</v>
      </c>
      <c r="E122" s="292"/>
      <c r="F122" s="76"/>
      <c r="G122" s="292"/>
      <c r="H122" s="292"/>
    </row>
    <row r="123" spans="1:8" ht="16.5" x14ac:dyDescent="0.3">
      <c r="A123" s="76"/>
      <c r="B123" s="76"/>
      <c r="C123" s="76"/>
      <c r="D123" s="76"/>
      <c r="E123" s="76"/>
      <c r="F123" s="76"/>
      <c r="G123" s="76"/>
      <c r="H123" s="76"/>
    </row>
    <row r="124" spans="1:8" ht="16.5" x14ac:dyDescent="0.3">
      <c r="A124" s="76"/>
      <c r="B124" s="76"/>
      <c r="C124" s="76"/>
      <c r="D124" s="76"/>
      <c r="E124" s="76"/>
      <c r="F124" s="76"/>
      <c r="G124" s="76"/>
      <c r="H124" s="76"/>
    </row>
    <row r="125" spans="1:8" ht="16.5" x14ac:dyDescent="0.3">
      <c r="A125" s="76"/>
      <c r="B125" s="76"/>
      <c r="C125" s="76"/>
      <c r="D125" s="76"/>
      <c r="E125" s="76"/>
      <c r="F125" s="76"/>
      <c r="G125" s="76"/>
      <c r="H125" s="76"/>
    </row>
    <row r="126" spans="1:8" ht="16.5" x14ac:dyDescent="0.3">
      <c r="A126" s="292" t="s">
        <v>408</v>
      </c>
      <c r="B126" s="292"/>
      <c r="C126" s="76"/>
      <c r="D126" s="292" t="s">
        <v>8</v>
      </c>
      <c r="E126" s="292"/>
      <c r="F126" s="76"/>
      <c r="G126" s="292"/>
      <c r="H126" s="292"/>
    </row>
    <row r="127" spans="1:8" ht="16.5" x14ac:dyDescent="0.3">
      <c r="A127" s="76"/>
      <c r="B127" s="85"/>
      <c r="C127" s="76"/>
      <c r="D127" s="76"/>
      <c r="E127" s="76"/>
      <c r="F127" s="76"/>
      <c r="G127" s="76"/>
      <c r="H127" s="76"/>
    </row>
  </sheetData>
  <mergeCells count="14">
    <mergeCell ref="A126:B126"/>
    <mergeCell ref="D126:E126"/>
    <mergeCell ref="G126:H126"/>
    <mergeCell ref="C2:E2"/>
    <mergeCell ref="B5:G5"/>
    <mergeCell ref="B6:G6"/>
    <mergeCell ref="B7:G8"/>
    <mergeCell ref="B9:E9"/>
    <mergeCell ref="B110:E110"/>
    <mergeCell ref="D120:E120"/>
    <mergeCell ref="G120:H120"/>
    <mergeCell ref="A122:B122"/>
    <mergeCell ref="D122:E122"/>
    <mergeCell ref="G122:H122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H128"/>
  <sheetViews>
    <sheetView topLeftCell="A42" workbookViewId="0">
      <selection activeCell="E49" sqref="E49"/>
    </sheetView>
  </sheetViews>
  <sheetFormatPr baseColWidth="10" defaultRowHeight="15" x14ac:dyDescent="0.25"/>
  <cols>
    <col min="1" max="1" width="6" customWidth="1"/>
    <col min="2" max="2" width="32.85546875" customWidth="1"/>
    <col min="4" max="4" width="12.42578125" customWidth="1"/>
  </cols>
  <sheetData>
    <row r="1" spans="1:8" ht="20.25" x14ac:dyDescent="0.3">
      <c r="A1" s="92"/>
      <c r="B1" s="109"/>
      <c r="C1" s="73" t="s">
        <v>5</v>
      </c>
      <c r="D1" s="73"/>
      <c r="E1" s="73"/>
      <c r="F1" s="109"/>
      <c r="G1" s="109"/>
      <c r="H1" s="109"/>
    </row>
    <row r="2" spans="1:8" ht="20.25" x14ac:dyDescent="0.3">
      <c r="A2" s="1" t="s">
        <v>929</v>
      </c>
      <c r="B2" s="6"/>
      <c r="C2" s="31" t="s">
        <v>5</v>
      </c>
      <c r="D2" s="31"/>
      <c r="E2" s="31"/>
      <c r="F2" s="2"/>
      <c r="G2" s="2"/>
      <c r="H2" s="109"/>
    </row>
    <row r="3" spans="1:8" ht="16.5" x14ac:dyDescent="0.3">
      <c r="A3" s="1" t="s">
        <v>930</v>
      </c>
      <c r="B3" s="6"/>
      <c r="C3" s="276" t="s">
        <v>6</v>
      </c>
      <c r="D3" s="276"/>
      <c r="E3" s="276"/>
      <c r="F3" s="2"/>
      <c r="G3" s="2"/>
      <c r="H3" s="109"/>
    </row>
    <row r="4" spans="1:8" ht="16.5" x14ac:dyDescent="0.3">
      <c r="A4" s="1" t="s">
        <v>931</v>
      </c>
      <c r="B4" s="6"/>
      <c r="C4" s="2"/>
      <c r="D4" s="2"/>
      <c r="E4" s="2"/>
      <c r="F4" s="2"/>
      <c r="G4" s="2"/>
      <c r="H4" s="109"/>
    </row>
    <row r="5" spans="1:8" ht="16.5" x14ac:dyDescent="0.3">
      <c r="A5" s="1" t="s">
        <v>932</v>
      </c>
      <c r="B5" s="6"/>
      <c r="C5" s="2"/>
      <c r="D5" s="3"/>
      <c r="E5" s="3"/>
      <c r="F5" s="2"/>
      <c r="G5" s="2"/>
      <c r="H5" s="109"/>
    </row>
    <row r="6" spans="1:8" ht="18.75" x14ac:dyDescent="0.3">
      <c r="A6" s="2"/>
      <c r="B6" s="283" t="s">
        <v>1047</v>
      </c>
      <c r="C6" s="283"/>
      <c r="D6" s="283"/>
      <c r="E6" s="283"/>
      <c r="F6" s="283"/>
      <c r="G6" s="283"/>
      <c r="H6" s="109"/>
    </row>
    <row r="7" spans="1:8" ht="21" x14ac:dyDescent="0.3">
      <c r="A7" s="2"/>
      <c r="B7" s="4"/>
      <c r="C7" s="283" t="s">
        <v>1051</v>
      </c>
      <c r="D7" s="283"/>
      <c r="E7" s="283"/>
      <c r="F7" s="283"/>
      <c r="G7" s="283"/>
      <c r="H7" s="109"/>
    </row>
    <row r="8" spans="1:8" ht="16.5" customHeight="1" x14ac:dyDescent="0.3">
      <c r="A8" s="284" t="s">
        <v>1046</v>
      </c>
      <c r="B8" s="284"/>
      <c r="C8" s="284"/>
      <c r="D8" s="284"/>
      <c r="E8" s="284"/>
      <c r="F8" s="284"/>
      <c r="G8" s="284"/>
      <c r="H8" s="109"/>
    </row>
    <row r="9" spans="1:8" ht="16.5" x14ac:dyDescent="0.3">
      <c r="A9" s="284"/>
      <c r="B9" s="284"/>
      <c r="C9" s="284"/>
      <c r="D9" s="284"/>
      <c r="E9" s="284"/>
      <c r="F9" s="284"/>
      <c r="G9" s="284"/>
      <c r="H9" s="109"/>
    </row>
    <row r="10" spans="1:8" ht="15" customHeight="1" x14ac:dyDescent="0.25">
      <c r="A10" s="306" t="s">
        <v>106</v>
      </c>
      <c r="B10" s="308" t="s">
        <v>0</v>
      </c>
      <c r="C10" s="308" t="s">
        <v>210</v>
      </c>
      <c r="D10" s="308" t="s">
        <v>445</v>
      </c>
      <c r="E10" s="308" t="s">
        <v>446</v>
      </c>
      <c r="F10" s="95"/>
      <c r="G10" s="95"/>
      <c r="H10" s="95"/>
    </row>
    <row r="11" spans="1:8" ht="15" customHeight="1" x14ac:dyDescent="0.25">
      <c r="A11" s="307"/>
      <c r="B11" s="309"/>
      <c r="C11" s="309"/>
      <c r="D11" s="309"/>
      <c r="E11" s="309"/>
      <c r="F11" s="95"/>
      <c r="G11" s="95"/>
      <c r="H11" s="95"/>
    </row>
    <row r="12" spans="1:8" ht="18.75" x14ac:dyDescent="0.25">
      <c r="A12" s="253" t="s">
        <v>1002</v>
      </c>
      <c r="B12" s="254" t="s">
        <v>915</v>
      </c>
      <c r="C12" s="239">
        <v>17.044444444444448</v>
      </c>
      <c r="D12" s="210">
        <v>16.388888888888889</v>
      </c>
      <c r="E12" s="213">
        <f t="shared" ref="E12:E55" si="0">SUM(C12+D12)/2</f>
        <v>16.716666666666669</v>
      </c>
      <c r="F12" s="98"/>
      <c r="G12" s="98"/>
      <c r="H12" s="98"/>
    </row>
    <row r="13" spans="1:8" ht="18.75" x14ac:dyDescent="0.25">
      <c r="A13" s="253" t="s">
        <v>1003</v>
      </c>
      <c r="B13" s="254" t="s">
        <v>879</v>
      </c>
      <c r="C13" s="239">
        <v>15.944444444444445</v>
      </c>
      <c r="D13" s="213">
        <v>16.288888888888888</v>
      </c>
      <c r="E13" s="213">
        <f t="shared" si="0"/>
        <v>16.116666666666667</v>
      </c>
      <c r="F13" s="98"/>
      <c r="G13" s="98"/>
      <c r="H13" s="98"/>
    </row>
    <row r="14" spans="1:8" ht="18.75" x14ac:dyDescent="0.25">
      <c r="A14" s="253" t="s">
        <v>1004</v>
      </c>
      <c r="B14" s="254" t="s">
        <v>888</v>
      </c>
      <c r="C14" s="239">
        <v>15.233333333333334</v>
      </c>
      <c r="D14" s="213">
        <v>16.366666666666667</v>
      </c>
      <c r="E14" s="213">
        <f t="shared" si="0"/>
        <v>15.8</v>
      </c>
      <c r="F14" s="98"/>
      <c r="G14" s="98"/>
      <c r="H14" s="98"/>
    </row>
    <row r="15" spans="1:8" ht="18.75" x14ac:dyDescent="0.25">
      <c r="A15" s="253" t="s">
        <v>1005</v>
      </c>
      <c r="B15" s="254" t="s">
        <v>893</v>
      </c>
      <c r="C15" s="239">
        <v>15.111111111111109</v>
      </c>
      <c r="D15" s="213">
        <v>16.344444444444445</v>
      </c>
      <c r="E15" s="213">
        <f t="shared" si="0"/>
        <v>15.727777777777778</v>
      </c>
      <c r="F15" s="98"/>
      <c r="G15" s="98"/>
      <c r="H15" s="98"/>
    </row>
    <row r="16" spans="1:8" ht="18.75" x14ac:dyDescent="0.25">
      <c r="A16" s="253" t="s">
        <v>1006</v>
      </c>
      <c r="B16" s="254" t="s">
        <v>911</v>
      </c>
      <c r="C16" s="239">
        <v>15.844444444444443</v>
      </c>
      <c r="D16" s="213">
        <v>14.955555555555556</v>
      </c>
      <c r="E16" s="213">
        <f t="shared" si="0"/>
        <v>15.399999999999999</v>
      </c>
      <c r="F16" s="98"/>
      <c r="G16" s="98"/>
      <c r="H16" s="98"/>
    </row>
    <row r="17" spans="1:8" ht="18.75" x14ac:dyDescent="0.25">
      <c r="A17" s="253" t="s">
        <v>1007</v>
      </c>
      <c r="B17" s="254" t="s">
        <v>919</v>
      </c>
      <c r="C17" s="239">
        <v>14.833333333333334</v>
      </c>
      <c r="D17" s="213">
        <v>14.744444444444445</v>
      </c>
      <c r="E17" s="213">
        <f t="shared" si="0"/>
        <v>14.78888888888889</v>
      </c>
      <c r="F17" s="98"/>
      <c r="G17" s="98"/>
      <c r="H17" s="98"/>
    </row>
    <row r="18" spans="1:8" ht="18.75" x14ac:dyDescent="0.25">
      <c r="A18" s="253" t="s">
        <v>1008</v>
      </c>
      <c r="B18" s="21" t="s">
        <v>904</v>
      </c>
      <c r="C18" s="239">
        <v>13.933333333333332</v>
      </c>
      <c r="D18" s="213">
        <v>14.944444444444443</v>
      </c>
      <c r="E18" s="213">
        <f t="shared" si="0"/>
        <v>14.438888888888886</v>
      </c>
      <c r="F18" s="98"/>
      <c r="G18" s="98"/>
      <c r="H18" s="98"/>
    </row>
    <row r="19" spans="1:8" ht="18.75" x14ac:dyDescent="0.25">
      <c r="A19" s="253" t="s">
        <v>1009</v>
      </c>
      <c r="B19" s="21" t="s">
        <v>889</v>
      </c>
      <c r="C19" s="239">
        <v>13.577777777777778</v>
      </c>
      <c r="D19" s="213">
        <v>14.644444444444444</v>
      </c>
      <c r="E19" s="213">
        <f t="shared" si="0"/>
        <v>14.111111111111111</v>
      </c>
      <c r="F19" s="98"/>
      <c r="G19" s="98"/>
      <c r="H19" s="98"/>
    </row>
    <row r="20" spans="1:8" ht="18.75" x14ac:dyDescent="0.25">
      <c r="A20" s="253" t="s">
        <v>1010</v>
      </c>
      <c r="B20" s="21" t="s">
        <v>885</v>
      </c>
      <c r="C20" s="239">
        <v>13.200000000000001</v>
      </c>
      <c r="D20" s="213">
        <v>14.366666666666667</v>
      </c>
      <c r="E20" s="213">
        <f t="shared" si="0"/>
        <v>13.783333333333335</v>
      </c>
      <c r="F20" s="98"/>
      <c r="G20" s="98"/>
      <c r="H20" s="98"/>
    </row>
    <row r="21" spans="1:8" ht="18.75" x14ac:dyDescent="0.25">
      <c r="A21" s="253" t="s">
        <v>1011</v>
      </c>
      <c r="B21" s="254" t="s">
        <v>898</v>
      </c>
      <c r="C21" s="239">
        <v>13.31111111111111</v>
      </c>
      <c r="D21" s="213">
        <v>14.022222222222224</v>
      </c>
      <c r="E21" s="213">
        <f t="shared" si="0"/>
        <v>13.666666666666668</v>
      </c>
      <c r="F21" s="98"/>
      <c r="G21" s="98"/>
      <c r="H21" s="98"/>
    </row>
    <row r="22" spans="1:8" ht="18.75" x14ac:dyDescent="0.25">
      <c r="A22" s="253" t="s">
        <v>1012</v>
      </c>
      <c r="B22" s="254" t="s">
        <v>887</v>
      </c>
      <c r="C22" s="239">
        <v>12.555555555555557</v>
      </c>
      <c r="D22" s="213">
        <v>14.200000000000001</v>
      </c>
      <c r="E22" s="213">
        <f t="shared" si="0"/>
        <v>13.37777777777778</v>
      </c>
      <c r="F22" s="98"/>
      <c r="G22" s="98"/>
      <c r="H22" s="98"/>
    </row>
    <row r="23" spans="1:8" ht="18.75" x14ac:dyDescent="0.25">
      <c r="A23" s="253" t="s">
        <v>1013</v>
      </c>
      <c r="B23" s="254" t="s">
        <v>912</v>
      </c>
      <c r="C23" s="239">
        <v>13</v>
      </c>
      <c r="D23" s="213">
        <v>13.533333333333333</v>
      </c>
      <c r="E23" s="213">
        <f t="shared" si="0"/>
        <v>13.266666666666666</v>
      </c>
      <c r="F23" s="98"/>
      <c r="G23" s="98"/>
      <c r="H23" s="98"/>
    </row>
    <row r="24" spans="1:8" ht="18.75" x14ac:dyDescent="0.25">
      <c r="A24" s="253" t="s">
        <v>1014</v>
      </c>
      <c r="B24" s="254" t="s">
        <v>881</v>
      </c>
      <c r="C24" s="239">
        <v>12.355555555555556</v>
      </c>
      <c r="D24" s="213">
        <v>13.844444444444443</v>
      </c>
      <c r="E24" s="213">
        <f t="shared" si="0"/>
        <v>13.1</v>
      </c>
      <c r="F24" s="98"/>
      <c r="G24" s="98"/>
      <c r="H24" s="98"/>
    </row>
    <row r="25" spans="1:8" ht="18.75" x14ac:dyDescent="0.25">
      <c r="A25" s="253" t="s">
        <v>1015</v>
      </c>
      <c r="B25" s="254" t="s">
        <v>907</v>
      </c>
      <c r="C25" s="239">
        <v>12.666666666666666</v>
      </c>
      <c r="D25" s="213">
        <v>13.322222222222223</v>
      </c>
      <c r="E25" s="213">
        <f t="shared" si="0"/>
        <v>12.994444444444444</v>
      </c>
      <c r="F25" s="98"/>
      <c r="G25" s="98"/>
      <c r="H25" s="98"/>
    </row>
    <row r="26" spans="1:8" ht="18.75" x14ac:dyDescent="0.25">
      <c r="A26" s="253" t="s">
        <v>1016</v>
      </c>
      <c r="B26" s="254" t="s">
        <v>903</v>
      </c>
      <c r="C26" s="239">
        <v>11.455555555555556</v>
      </c>
      <c r="D26" s="210">
        <v>12.233333333333334</v>
      </c>
      <c r="E26" s="213">
        <f t="shared" si="0"/>
        <v>11.844444444444445</v>
      </c>
      <c r="F26" s="98"/>
      <c r="G26" s="98"/>
      <c r="H26" s="98"/>
    </row>
    <row r="27" spans="1:8" ht="18.75" x14ac:dyDescent="0.25">
      <c r="A27" s="253" t="s">
        <v>1017</v>
      </c>
      <c r="B27" s="254" t="s">
        <v>999</v>
      </c>
      <c r="C27" s="239">
        <v>10.422222222222222</v>
      </c>
      <c r="D27" s="210">
        <v>13</v>
      </c>
      <c r="E27" s="213">
        <f t="shared" si="0"/>
        <v>11.711111111111112</v>
      </c>
      <c r="F27" s="98"/>
      <c r="G27" s="98"/>
      <c r="H27" s="98"/>
    </row>
    <row r="28" spans="1:8" ht="18.75" x14ac:dyDescent="0.25">
      <c r="A28" s="253" t="s">
        <v>1018</v>
      </c>
      <c r="B28" s="254" t="s">
        <v>906</v>
      </c>
      <c r="C28" s="239">
        <v>11.21111111111111</v>
      </c>
      <c r="D28" s="213">
        <v>12.155555555555557</v>
      </c>
      <c r="E28" s="213">
        <f t="shared" si="0"/>
        <v>11.683333333333334</v>
      </c>
      <c r="F28" s="98"/>
      <c r="G28" s="98"/>
      <c r="H28" s="98"/>
    </row>
    <row r="29" spans="1:8" ht="18.75" x14ac:dyDescent="0.25">
      <c r="A29" s="253" t="s">
        <v>1019</v>
      </c>
      <c r="B29" s="254" t="s">
        <v>860</v>
      </c>
      <c r="C29" s="239">
        <v>11.5</v>
      </c>
      <c r="D29" s="213">
        <v>11.733333333333334</v>
      </c>
      <c r="E29" s="213">
        <f t="shared" si="0"/>
        <v>11.616666666666667</v>
      </c>
      <c r="F29" s="98"/>
      <c r="G29" s="98"/>
      <c r="H29" s="98"/>
    </row>
    <row r="30" spans="1:8" ht="18.75" x14ac:dyDescent="0.25">
      <c r="A30" s="253" t="s">
        <v>1020</v>
      </c>
      <c r="B30" s="254" t="s">
        <v>910</v>
      </c>
      <c r="C30" s="239">
        <v>10.355555555555556</v>
      </c>
      <c r="D30" s="213">
        <v>12.81111111111111</v>
      </c>
      <c r="E30" s="213">
        <f t="shared" si="0"/>
        <v>11.583333333333332</v>
      </c>
      <c r="F30" s="98"/>
      <c r="G30" s="98"/>
      <c r="H30" s="98"/>
    </row>
    <row r="31" spans="1:8" ht="18.75" x14ac:dyDescent="0.25">
      <c r="A31" s="253" t="s">
        <v>1021</v>
      </c>
      <c r="B31" s="254" t="s">
        <v>883</v>
      </c>
      <c r="C31" s="239">
        <v>11.033333333333333</v>
      </c>
      <c r="D31" s="213">
        <v>12.122222222222222</v>
      </c>
      <c r="E31" s="213">
        <f t="shared" si="0"/>
        <v>11.577777777777778</v>
      </c>
      <c r="F31" s="98"/>
      <c r="G31" s="98"/>
      <c r="H31" s="98"/>
    </row>
    <row r="32" spans="1:8" ht="18.75" x14ac:dyDescent="0.25">
      <c r="A32" s="253" t="s">
        <v>1022</v>
      </c>
      <c r="B32" s="254" t="s">
        <v>880</v>
      </c>
      <c r="C32" s="239">
        <v>9.6777777777777771</v>
      </c>
      <c r="D32" s="213">
        <v>13.466666666666667</v>
      </c>
      <c r="E32" s="213">
        <f t="shared" si="0"/>
        <v>11.572222222222223</v>
      </c>
      <c r="F32" s="98"/>
      <c r="G32" s="98"/>
      <c r="H32" s="98"/>
    </row>
    <row r="33" spans="1:8" ht="18.75" x14ac:dyDescent="0.25">
      <c r="A33" s="253" t="s">
        <v>1023</v>
      </c>
      <c r="B33" s="254" t="s">
        <v>900</v>
      </c>
      <c r="C33" s="239">
        <v>10.111111111111111</v>
      </c>
      <c r="D33" s="213">
        <v>12.977777777777776</v>
      </c>
      <c r="E33" s="213">
        <f t="shared" si="0"/>
        <v>11.544444444444444</v>
      </c>
      <c r="F33" s="98"/>
      <c r="G33" s="98"/>
      <c r="H33" s="98"/>
    </row>
    <row r="34" spans="1:8" ht="18.75" x14ac:dyDescent="0.25">
      <c r="A34" s="253" t="s">
        <v>1024</v>
      </c>
      <c r="B34" s="254" t="s">
        <v>909</v>
      </c>
      <c r="C34" s="239">
        <v>10.077777777777778</v>
      </c>
      <c r="D34" s="210">
        <v>12.71111111111111</v>
      </c>
      <c r="E34" s="213">
        <f t="shared" si="0"/>
        <v>11.394444444444444</v>
      </c>
      <c r="F34" s="98"/>
      <c r="G34" s="98"/>
      <c r="H34" s="98"/>
    </row>
    <row r="35" spans="1:8" ht="18.75" x14ac:dyDescent="0.25">
      <c r="A35" s="253" t="s">
        <v>1025</v>
      </c>
      <c r="B35" s="254" t="s">
        <v>878</v>
      </c>
      <c r="C35" s="38">
        <v>10.677777777777777</v>
      </c>
      <c r="D35" s="213">
        <v>11.544444444444444</v>
      </c>
      <c r="E35" s="213">
        <f t="shared" si="0"/>
        <v>11.111111111111111</v>
      </c>
      <c r="F35" s="133"/>
      <c r="G35" s="133"/>
      <c r="H35" s="133"/>
    </row>
    <row r="36" spans="1:8" ht="18.75" x14ac:dyDescent="0.25">
      <c r="A36" s="253" t="s">
        <v>1026</v>
      </c>
      <c r="B36" s="254" t="s">
        <v>901</v>
      </c>
      <c r="C36" s="239">
        <v>10.68888888888889</v>
      </c>
      <c r="D36" s="213">
        <v>11.344444444444443</v>
      </c>
      <c r="E36" s="213">
        <f t="shared" si="0"/>
        <v>11.016666666666666</v>
      </c>
      <c r="F36" s="98"/>
      <c r="G36" s="98"/>
      <c r="H36" s="98"/>
    </row>
    <row r="37" spans="1:8" ht="18.75" x14ac:dyDescent="0.25">
      <c r="A37" s="253" t="s">
        <v>1027</v>
      </c>
      <c r="B37" s="254" t="s">
        <v>890</v>
      </c>
      <c r="C37" s="239">
        <v>9.5111111111111111</v>
      </c>
      <c r="D37" s="213">
        <v>12.444444444444443</v>
      </c>
      <c r="E37" s="213">
        <f t="shared" si="0"/>
        <v>10.977777777777778</v>
      </c>
      <c r="F37" s="98"/>
      <c r="G37" s="98"/>
      <c r="H37" s="98"/>
    </row>
    <row r="38" spans="1:8" ht="18.75" x14ac:dyDescent="0.25">
      <c r="A38" s="253" t="s">
        <v>1028</v>
      </c>
      <c r="B38" s="254" t="s">
        <v>918</v>
      </c>
      <c r="C38" s="239">
        <v>10.966666666666667</v>
      </c>
      <c r="D38" s="213">
        <v>10.888888888888891</v>
      </c>
      <c r="E38" s="213">
        <f t="shared" si="0"/>
        <v>10.927777777777779</v>
      </c>
      <c r="F38" s="98"/>
      <c r="G38" s="98"/>
      <c r="H38" s="98"/>
    </row>
    <row r="39" spans="1:8" ht="18.75" x14ac:dyDescent="0.25">
      <c r="A39" s="253" t="s">
        <v>1029</v>
      </c>
      <c r="B39" s="254" t="s">
        <v>914</v>
      </c>
      <c r="C39" s="239">
        <v>7.8777777777777773</v>
      </c>
      <c r="D39" s="213">
        <v>13.4</v>
      </c>
      <c r="E39" s="213">
        <f t="shared" si="0"/>
        <v>10.638888888888889</v>
      </c>
      <c r="F39" s="98"/>
      <c r="G39" s="98"/>
      <c r="H39" s="98"/>
    </row>
    <row r="40" spans="1:8" ht="18.75" x14ac:dyDescent="0.25">
      <c r="A40" s="253" t="s">
        <v>1030</v>
      </c>
      <c r="B40" s="254" t="s">
        <v>882</v>
      </c>
      <c r="C40" s="239">
        <v>9.8222222222222229</v>
      </c>
      <c r="D40" s="213">
        <v>11.433333333333332</v>
      </c>
      <c r="E40" s="213">
        <f t="shared" si="0"/>
        <v>10.627777777777776</v>
      </c>
      <c r="F40" s="98"/>
      <c r="G40" s="98"/>
      <c r="H40" s="98"/>
    </row>
    <row r="41" spans="1:8" ht="18.75" x14ac:dyDescent="0.25">
      <c r="A41" s="253" t="s">
        <v>1031</v>
      </c>
      <c r="B41" s="254" t="s">
        <v>886</v>
      </c>
      <c r="C41" s="239">
        <v>9.0888888888888886</v>
      </c>
      <c r="D41" s="213">
        <v>11.722222222222223</v>
      </c>
      <c r="E41" s="213">
        <f t="shared" si="0"/>
        <v>10.405555555555555</v>
      </c>
      <c r="F41" s="98"/>
      <c r="G41" s="98"/>
      <c r="H41" s="98"/>
    </row>
    <row r="42" spans="1:8" ht="18.75" x14ac:dyDescent="0.25">
      <c r="A42" s="253" t="s">
        <v>1032</v>
      </c>
      <c r="B42" s="254" t="s">
        <v>905</v>
      </c>
      <c r="C42" s="239">
        <v>9.7666666666666675</v>
      </c>
      <c r="D42" s="213">
        <v>10.544444444444444</v>
      </c>
      <c r="E42" s="213">
        <f t="shared" si="0"/>
        <v>10.155555555555555</v>
      </c>
      <c r="F42" s="98"/>
      <c r="G42" s="98"/>
      <c r="H42" s="98"/>
    </row>
    <row r="43" spans="1:8" ht="16.5" customHeight="1" x14ac:dyDescent="0.25">
      <c r="A43" s="253" t="s">
        <v>1033</v>
      </c>
      <c r="B43" s="21" t="s">
        <v>1000</v>
      </c>
      <c r="C43" s="239">
        <v>9.2999999999999989</v>
      </c>
      <c r="D43" s="213">
        <v>10.78888888888889</v>
      </c>
      <c r="E43" s="213">
        <f t="shared" si="0"/>
        <v>10.044444444444444</v>
      </c>
      <c r="F43" s="98"/>
      <c r="G43" s="98"/>
      <c r="H43" s="98"/>
    </row>
    <row r="44" spans="1:8" ht="15.75" customHeight="1" x14ac:dyDescent="0.25">
      <c r="A44" s="253" t="s">
        <v>1034</v>
      </c>
      <c r="B44" s="254" t="s">
        <v>913</v>
      </c>
      <c r="C44" s="239">
        <v>9.3333333333333339</v>
      </c>
      <c r="D44" s="213">
        <v>10.677777777777777</v>
      </c>
      <c r="E44" s="213">
        <f t="shared" si="0"/>
        <v>10.005555555555556</v>
      </c>
      <c r="F44" s="98"/>
      <c r="G44" s="98"/>
      <c r="H44" s="98"/>
    </row>
    <row r="45" spans="1:8" ht="18.75" x14ac:dyDescent="0.25">
      <c r="A45" s="253" t="s">
        <v>1035</v>
      </c>
      <c r="B45" s="254" t="s">
        <v>891</v>
      </c>
      <c r="C45" s="239">
        <v>8.9555555555555557</v>
      </c>
      <c r="D45" s="213">
        <v>10.911111111111111</v>
      </c>
      <c r="E45" s="213">
        <f t="shared" si="0"/>
        <v>9.9333333333333336</v>
      </c>
      <c r="F45" s="98"/>
      <c r="G45" s="98"/>
      <c r="H45" s="98"/>
    </row>
    <row r="46" spans="1:8" ht="18.75" x14ac:dyDescent="0.25">
      <c r="A46" s="253" t="s">
        <v>1036</v>
      </c>
      <c r="B46" s="254" t="s">
        <v>902</v>
      </c>
      <c r="C46" s="239">
        <v>9.2777777777777768</v>
      </c>
      <c r="D46" s="213">
        <v>10.555555555555555</v>
      </c>
      <c r="E46" s="213">
        <f t="shared" si="0"/>
        <v>9.9166666666666661</v>
      </c>
      <c r="F46" s="98"/>
      <c r="G46" s="98"/>
      <c r="H46" s="98"/>
    </row>
    <row r="47" spans="1:8" ht="18.75" x14ac:dyDescent="0.25">
      <c r="A47" s="253" t="s">
        <v>1037</v>
      </c>
      <c r="B47" s="254" t="s">
        <v>899</v>
      </c>
      <c r="C47" s="239">
        <v>8.7111111111111104</v>
      </c>
      <c r="D47" s="213">
        <v>11.088888888888889</v>
      </c>
      <c r="E47" s="213">
        <f t="shared" si="0"/>
        <v>9.8999999999999986</v>
      </c>
      <c r="F47" s="98"/>
      <c r="G47" s="98"/>
      <c r="H47" s="98"/>
    </row>
    <row r="48" spans="1:8" ht="18.75" x14ac:dyDescent="0.25">
      <c r="A48" s="253" t="s">
        <v>1038</v>
      </c>
      <c r="B48" s="254" t="s">
        <v>894</v>
      </c>
      <c r="C48" s="213">
        <v>7.8777777777777773</v>
      </c>
      <c r="D48" s="213">
        <v>11.4</v>
      </c>
      <c r="E48" s="213">
        <f t="shared" si="0"/>
        <v>9.6388888888888893</v>
      </c>
      <c r="F48" s="98"/>
      <c r="G48" s="98"/>
      <c r="H48" s="98"/>
    </row>
    <row r="49" spans="1:8" ht="18.75" x14ac:dyDescent="0.25">
      <c r="A49" s="253" t="s">
        <v>1039</v>
      </c>
      <c r="B49" s="254" t="s">
        <v>895</v>
      </c>
      <c r="C49" s="239">
        <v>8.5888888888888886</v>
      </c>
      <c r="D49" s="213">
        <v>10.255555555555555</v>
      </c>
      <c r="E49" s="213">
        <f t="shared" si="0"/>
        <v>9.4222222222222207</v>
      </c>
      <c r="F49" s="98"/>
      <c r="G49" s="98"/>
      <c r="H49" s="98"/>
    </row>
    <row r="50" spans="1:8" ht="18.75" x14ac:dyDescent="0.25">
      <c r="A50" s="253" t="s">
        <v>1040</v>
      </c>
      <c r="B50" s="254" t="s">
        <v>897</v>
      </c>
      <c r="C50" s="239">
        <v>8.7000000000000011</v>
      </c>
      <c r="D50" s="213">
        <v>9.7888888888888896</v>
      </c>
      <c r="E50" s="213">
        <f t="shared" si="0"/>
        <v>9.2444444444444454</v>
      </c>
      <c r="F50" s="98"/>
      <c r="G50" s="98"/>
      <c r="H50" s="98"/>
    </row>
    <row r="51" spans="1:8" ht="18.75" x14ac:dyDescent="0.25">
      <c r="A51" s="253" t="s">
        <v>1041</v>
      </c>
      <c r="B51" s="254" t="s">
        <v>892</v>
      </c>
      <c r="C51" s="239">
        <v>6.166666666666667</v>
      </c>
      <c r="D51" s="213">
        <v>9.3666666666666671</v>
      </c>
      <c r="E51" s="213">
        <f t="shared" si="0"/>
        <v>7.7666666666666675</v>
      </c>
      <c r="F51" s="98"/>
      <c r="G51" s="98"/>
      <c r="H51" s="98"/>
    </row>
    <row r="52" spans="1:8" ht="18.75" x14ac:dyDescent="0.25">
      <c r="A52" s="253" t="s">
        <v>1042</v>
      </c>
      <c r="B52" s="254" t="s">
        <v>884</v>
      </c>
      <c r="C52" s="213">
        <v>4.2888888888888888</v>
      </c>
      <c r="D52" s="213">
        <v>9.4666666666666668</v>
      </c>
      <c r="E52" s="213">
        <f t="shared" si="0"/>
        <v>6.8777777777777782</v>
      </c>
      <c r="F52" s="98"/>
      <c r="G52" s="98"/>
      <c r="H52" s="98"/>
    </row>
    <row r="53" spans="1:8" ht="18.75" x14ac:dyDescent="0.25">
      <c r="A53" s="253" t="s">
        <v>1043</v>
      </c>
      <c r="B53" s="254" t="s">
        <v>916</v>
      </c>
      <c r="C53" s="239">
        <v>5.4222222222222216</v>
      </c>
      <c r="D53" s="210">
        <v>7.3444444444444441</v>
      </c>
      <c r="E53" s="213">
        <f t="shared" si="0"/>
        <v>6.3833333333333329</v>
      </c>
      <c r="F53" s="98"/>
      <c r="G53" s="98"/>
      <c r="H53" s="98"/>
    </row>
    <row r="54" spans="1:8" ht="18.75" x14ac:dyDescent="0.25">
      <c r="A54" s="253" t="s">
        <v>1044</v>
      </c>
      <c r="B54" s="21" t="s">
        <v>917</v>
      </c>
      <c r="C54" s="239">
        <v>4.2666666666666666</v>
      </c>
      <c r="D54" s="213">
        <v>6.344444444444445</v>
      </c>
      <c r="E54" s="213">
        <f t="shared" si="0"/>
        <v>5.3055555555555554</v>
      </c>
      <c r="F54" s="98"/>
      <c r="G54" s="98"/>
      <c r="H54" s="98"/>
    </row>
    <row r="55" spans="1:8" ht="18.75" x14ac:dyDescent="0.25">
      <c r="A55" s="253" t="s">
        <v>1045</v>
      </c>
      <c r="B55" s="254" t="s">
        <v>908</v>
      </c>
      <c r="C55" s="239">
        <v>1.0999999999999999</v>
      </c>
      <c r="D55" s="213">
        <v>0.97777777777777786</v>
      </c>
      <c r="E55" s="213">
        <f t="shared" si="0"/>
        <v>1.0388888888888888</v>
      </c>
      <c r="F55" s="98"/>
      <c r="G55" s="98"/>
      <c r="H55" s="98"/>
    </row>
    <row r="56" spans="1:8" ht="16.5" x14ac:dyDescent="0.3">
      <c r="A56" s="109"/>
      <c r="C56" s="257" t="s">
        <v>1114</v>
      </c>
      <c r="D56" s="257"/>
      <c r="E56" s="257" t="s">
        <v>1115</v>
      </c>
      <c r="F56" s="98"/>
      <c r="G56" s="98"/>
      <c r="H56" s="98"/>
    </row>
    <row r="57" spans="1:8" ht="16.5" x14ac:dyDescent="0.3">
      <c r="A57" s="109"/>
      <c r="B57" s="109"/>
      <c r="C57" s="109"/>
      <c r="D57" s="109"/>
      <c r="E57" s="109"/>
      <c r="F57" s="98"/>
      <c r="G57" s="98"/>
      <c r="H57" s="98"/>
    </row>
    <row r="58" spans="1:8" ht="16.5" x14ac:dyDescent="0.3">
      <c r="A58" s="109"/>
      <c r="B58" s="109"/>
      <c r="C58" s="47" t="s">
        <v>393</v>
      </c>
      <c r="D58" s="47" t="s">
        <v>394</v>
      </c>
      <c r="E58" s="47" t="s">
        <v>395</v>
      </c>
      <c r="F58" s="98"/>
      <c r="G58" s="98"/>
      <c r="H58" s="98"/>
    </row>
    <row r="59" spans="1:8" ht="16.5" x14ac:dyDescent="0.3">
      <c r="A59" s="109"/>
      <c r="B59" s="261" t="s">
        <v>396</v>
      </c>
      <c r="C59" s="262">
        <v>22</v>
      </c>
      <c r="D59" s="262">
        <v>22</v>
      </c>
      <c r="E59" s="262">
        <v>44</v>
      </c>
      <c r="F59" s="98"/>
      <c r="G59" s="98"/>
      <c r="H59" s="98"/>
    </row>
    <row r="60" spans="1:8" ht="16.5" x14ac:dyDescent="0.3">
      <c r="A60" s="109"/>
      <c r="B60" s="253" t="s">
        <v>397</v>
      </c>
      <c r="C60" s="262">
        <v>22</v>
      </c>
      <c r="D60" s="262">
        <v>22</v>
      </c>
      <c r="E60" s="262">
        <v>44</v>
      </c>
      <c r="F60" s="98"/>
      <c r="G60" s="98"/>
      <c r="H60" s="98"/>
    </row>
    <row r="61" spans="1:8" ht="16.5" x14ac:dyDescent="0.3">
      <c r="A61" s="109"/>
      <c r="B61" s="253" t="s">
        <v>398</v>
      </c>
      <c r="C61" s="262">
        <v>0</v>
      </c>
      <c r="D61" s="262">
        <v>0</v>
      </c>
      <c r="E61" s="262">
        <v>0</v>
      </c>
      <c r="F61" s="98"/>
      <c r="G61" s="98"/>
      <c r="H61" s="98"/>
    </row>
    <row r="62" spans="1:8" ht="16.5" x14ac:dyDescent="0.3">
      <c r="A62" s="109"/>
      <c r="B62" s="253" t="s">
        <v>399</v>
      </c>
      <c r="C62" s="262">
        <v>15</v>
      </c>
      <c r="D62" s="262">
        <v>18</v>
      </c>
      <c r="E62" s="262">
        <v>33</v>
      </c>
      <c r="F62" s="98"/>
      <c r="G62" s="98"/>
      <c r="H62" s="98"/>
    </row>
    <row r="63" spans="1:8" ht="16.5" x14ac:dyDescent="0.3">
      <c r="A63" s="109"/>
      <c r="B63" s="253" t="s">
        <v>400</v>
      </c>
      <c r="C63" s="262">
        <v>7</v>
      </c>
      <c r="D63" s="262">
        <v>4</v>
      </c>
      <c r="E63" s="262">
        <v>11</v>
      </c>
      <c r="F63" s="98"/>
      <c r="G63" s="98"/>
      <c r="H63" s="98"/>
    </row>
    <row r="64" spans="1:8" ht="16.5" x14ac:dyDescent="0.3">
      <c r="A64" s="109"/>
      <c r="B64" s="253" t="s">
        <v>401</v>
      </c>
      <c r="C64" s="263">
        <f>+C62/C59</f>
        <v>0.68181818181818177</v>
      </c>
      <c r="D64" s="263">
        <f>+D62/D59</f>
        <v>0.81818181818181823</v>
      </c>
      <c r="E64" s="263">
        <f>+E62/E59</f>
        <v>0.75</v>
      </c>
      <c r="F64" s="98"/>
      <c r="G64" s="98"/>
      <c r="H64" s="98"/>
    </row>
    <row r="65" spans="1:8" x14ac:dyDescent="0.25">
      <c r="A65" s="104"/>
      <c r="B65" s="104"/>
      <c r="C65" s="104"/>
      <c r="D65" s="104"/>
      <c r="E65" s="104"/>
      <c r="F65" s="98"/>
      <c r="G65" s="98"/>
      <c r="H65" s="98"/>
    </row>
    <row r="66" spans="1:8" ht="18" x14ac:dyDescent="0.25">
      <c r="A66" s="256"/>
      <c r="B66" s="268" t="s">
        <v>1054</v>
      </c>
      <c r="C66" s="268"/>
      <c r="D66" s="98"/>
      <c r="G66" s="98"/>
      <c r="H66" s="98"/>
    </row>
    <row r="67" spans="1:8" ht="18" x14ac:dyDescent="0.25">
      <c r="A67" s="256"/>
      <c r="B67" s="256"/>
      <c r="C67" s="256"/>
      <c r="D67" s="256"/>
      <c r="E67" s="256"/>
      <c r="F67" s="98"/>
      <c r="G67" s="98"/>
      <c r="H67" s="98"/>
    </row>
    <row r="68" spans="1:8" ht="18.75" x14ac:dyDescent="0.3">
      <c r="A68" s="258"/>
      <c r="B68" s="258" t="s">
        <v>1053</v>
      </c>
      <c r="C68" s="256"/>
      <c r="D68" s="283" t="s">
        <v>404</v>
      </c>
      <c r="E68" s="283"/>
      <c r="F68" s="98"/>
      <c r="G68" s="98"/>
      <c r="H68" s="98"/>
    </row>
    <row r="69" spans="1:8" ht="18" x14ac:dyDescent="0.25">
      <c r="A69" s="256"/>
      <c r="B69" s="256"/>
      <c r="C69" s="256"/>
      <c r="D69" s="256"/>
      <c r="E69" s="256"/>
      <c r="F69" s="98"/>
      <c r="G69" s="98"/>
      <c r="H69" s="98"/>
    </row>
    <row r="70" spans="1:8" ht="18" x14ac:dyDescent="0.25">
      <c r="A70" s="256"/>
      <c r="B70" s="256"/>
      <c r="C70" s="256"/>
      <c r="D70" s="256"/>
      <c r="E70" s="256"/>
      <c r="F70" s="98"/>
      <c r="G70" s="98"/>
      <c r="H70" s="98"/>
    </row>
    <row r="71" spans="1:8" ht="18" x14ac:dyDescent="0.25">
      <c r="A71" s="256"/>
      <c r="B71" s="256"/>
      <c r="C71" s="256"/>
      <c r="D71" s="256"/>
      <c r="E71" s="256"/>
      <c r="F71" s="98"/>
      <c r="G71" s="98"/>
      <c r="H71" s="98"/>
    </row>
    <row r="72" spans="1:8" ht="18" x14ac:dyDescent="0.25">
      <c r="A72" s="256" t="s">
        <v>1052</v>
      </c>
      <c r="B72" s="256"/>
      <c r="C72" s="256"/>
      <c r="D72" s="283" t="s">
        <v>1055</v>
      </c>
      <c r="E72" s="283"/>
      <c r="F72" s="133"/>
      <c r="G72" s="133"/>
      <c r="H72" s="133"/>
    </row>
    <row r="73" spans="1:8" ht="16.5" x14ac:dyDescent="0.3">
      <c r="A73" s="109"/>
      <c r="B73" s="103"/>
      <c r="C73" s="109"/>
      <c r="D73" s="109"/>
      <c r="E73" s="109"/>
      <c r="F73" s="98"/>
      <c r="G73" s="98"/>
      <c r="H73" s="98"/>
    </row>
    <row r="74" spans="1:8" x14ac:dyDescent="0.25">
      <c r="F74" s="98"/>
      <c r="G74" s="98"/>
      <c r="H74" s="98"/>
    </row>
    <row r="75" spans="1:8" x14ac:dyDescent="0.25">
      <c r="F75" s="98"/>
      <c r="G75" s="98"/>
      <c r="H75" s="98"/>
    </row>
    <row r="76" spans="1:8" x14ac:dyDescent="0.25">
      <c r="F76" s="98"/>
      <c r="G76" s="98"/>
      <c r="H76" s="98"/>
    </row>
    <row r="77" spans="1:8" x14ac:dyDescent="0.25">
      <c r="F77" s="98"/>
      <c r="G77" s="98"/>
      <c r="H77" s="98"/>
    </row>
    <row r="78" spans="1:8" x14ac:dyDescent="0.25">
      <c r="F78" s="98"/>
      <c r="G78" s="98"/>
      <c r="H78" s="98"/>
    </row>
    <row r="79" spans="1:8" x14ac:dyDescent="0.25">
      <c r="F79" s="98"/>
      <c r="G79" s="98"/>
      <c r="H79" s="98"/>
    </row>
    <row r="80" spans="1:8" x14ac:dyDescent="0.25">
      <c r="F80" s="98"/>
      <c r="G80" s="98"/>
      <c r="H80" s="98"/>
    </row>
    <row r="81" spans="6:8" x14ac:dyDescent="0.25">
      <c r="F81" s="98"/>
      <c r="G81" s="98"/>
      <c r="H81" s="98"/>
    </row>
    <row r="82" spans="6:8" x14ac:dyDescent="0.25">
      <c r="F82" s="98"/>
      <c r="G82" s="98"/>
      <c r="H82" s="98"/>
    </row>
    <row r="83" spans="6:8" x14ac:dyDescent="0.25">
      <c r="F83" s="98"/>
      <c r="G83" s="98"/>
      <c r="H83" s="98"/>
    </row>
    <row r="84" spans="6:8" x14ac:dyDescent="0.25">
      <c r="F84" s="98"/>
      <c r="G84" s="98"/>
      <c r="H84" s="98"/>
    </row>
    <row r="85" spans="6:8" x14ac:dyDescent="0.25">
      <c r="F85" s="98"/>
      <c r="G85" s="98"/>
      <c r="H85" s="98"/>
    </row>
    <row r="86" spans="6:8" x14ac:dyDescent="0.25">
      <c r="F86" s="98"/>
      <c r="G86" s="98"/>
      <c r="H86" s="98"/>
    </row>
    <row r="87" spans="6:8" x14ac:dyDescent="0.25">
      <c r="F87" s="98"/>
      <c r="G87" s="98"/>
      <c r="H87" s="98"/>
    </row>
    <row r="88" spans="6:8" x14ac:dyDescent="0.25">
      <c r="F88" s="98"/>
      <c r="G88" s="98"/>
      <c r="H88" s="98"/>
    </row>
    <row r="89" spans="6:8" x14ac:dyDescent="0.25">
      <c r="F89" s="98"/>
      <c r="G89" s="98"/>
      <c r="H89" s="98"/>
    </row>
    <row r="90" spans="6:8" x14ac:dyDescent="0.25">
      <c r="F90" s="98"/>
      <c r="G90" s="98"/>
      <c r="H90" s="98"/>
    </row>
    <row r="91" spans="6:8" x14ac:dyDescent="0.25">
      <c r="F91" s="98"/>
      <c r="G91" s="98"/>
      <c r="H91" s="98"/>
    </row>
    <row r="92" spans="6:8" x14ac:dyDescent="0.25">
      <c r="F92" s="98"/>
      <c r="G92" s="98"/>
      <c r="H92" s="98"/>
    </row>
    <row r="93" spans="6:8" x14ac:dyDescent="0.25">
      <c r="F93" s="98"/>
      <c r="G93" s="98"/>
      <c r="H93" s="98"/>
    </row>
    <row r="94" spans="6:8" x14ac:dyDescent="0.25">
      <c r="F94" s="98"/>
      <c r="G94" s="98"/>
      <c r="H94" s="98"/>
    </row>
    <row r="95" spans="6:8" x14ac:dyDescent="0.25">
      <c r="F95" s="98"/>
      <c r="G95" s="98"/>
      <c r="H95" s="98"/>
    </row>
    <row r="96" spans="6:8" x14ac:dyDescent="0.25">
      <c r="F96" s="98"/>
      <c r="G96" s="98"/>
      <c r="H96" s="98"/>
    </row>
    <row r="97" spans="6:8" x14ac:dyDescent="0.25">
      <c r="F97" s="98"/>
      <c r="G97" s="98"/>
      <c r="H97" s="98"/>
    </row>
    <row r="98" spans="6:8" x14ac:dyDescent="0.25">
      <c r="F98" s="98"/>
      <c r="G98" s="98"/>
      <c r="H98" s="98"/>
    </row>
    <row r="99" spans="6:8" x14ac:dyDescent="0.25">
      <c r="F99" s="98"/>
      <c r="G99" s="98"/>
      <c r="H99" s="98"/>
    </row>
    <row r="100" spans="6:8" x14ac:dyDescent="0.25">
      <c r="F100" s="98"/>
      <c r="G100" s="98"/>
      <c r="H100" s="98"/>
    </row>
    <row r="101" spans="6:8" x14ac:dyDescent="0.25">
      <c r="F101" s="98"/>
      <c r="G101" s="98"/>
      <c r="H101" s="98"/>
    </row>
    <row r="102" spans="6:8" x14ac:dyDescent="0.25">
      <c r="F102" s="98"/>
      <c r="G102" s="98"/>
      <c r="H102" s="98"/>
    </row>
    <row r="103" spans="6:8" x14ac:dyDescent="0.25">
      <c r="F103" s="98"/>
      <c r="G103" s="98"/>
      <c r="H103" s="98"/>
    </row>
    <row r="104" spans="6:8" x14ac:dyDescent="0.25">
      <c r="F104" s="98"/>
      <c r="G104" s="98"/>
      <c r="H104" s="98"/>
    </row>
    <row r="105" spans="6:8" x14ac:dyDescent="0.25">
      <c r="F105" s="98"/>
      <c r="G105" s="98"/>
      <c r="H105" s="98"/>
    </row>
    <row r="106" spans="6:8" x14ac:dyDescent="0.25">
      <c r="F106" s="98"/>
      <c r="G106" s="98"/>
      <c r="H106" s="98"/>
    </row>
    <row r="107" spans="6:8" x14ac:dyDescent="0.25">
      <c r="F107" s="98"/>
      <c r="G107" s="98"/>
      <c r="H107" s="98"/>
    </row>
    <row r="108" spans="6:8" x14ac:dyDescent="0.25">
      <c r="F108" s="98"/>
      <c r="G108" s="98"/>
      <c r="H108" s="98"/>
    </row>
    <row r="109" spans="6:8" x14ac:dyDescent="0.25">
      <c r="F109" s="98"/>
      <c r="G109" s="98"/>
      <c r="H109" s="98"/>
    </row>
    <row r="110" spans="6:8" x14ac:dyDescent="0.25">
      <c r="F110" s="98"/>
      <c r="G110" s="98"/>
      <c r="H110" s="98"/>
    </row>
    <row r="111" spans="6:8" x14ac:dyDescent="0.25">
      <c r="F111" s="104"/>
      <c r="G111" s="104"/>
      <c r="H111" s="104"/>
    </row>
    <row r="112" spans="6:8" x14ac:dyDescent="0.25">
      <c r="F112" s="104"/>
      <c r="G112" s="104"/>
      <c r="H112" s="104"/>
    </row>
    <row r="113" spans="6:8" x14ac:dyDescent="0.25">
      <c r="F113" s="104"/>
      <c r="G113" s="104"/>
      <c r="H113" s="104"/>
    </row>
    <row r="114" spans="6:8" x14ac:dyDescent="0.25">
      <c r="F114" s="104"/>
      <c r="G114" s="104"/>
      <c r="H114" s="104"/>
    </row>
    <row r="115" spans="6:8" x14ac:dyDescent="0.25">
      <c r="F115" s="104"/>
      <c r="G115" s="104"/>
      <c r="H115" s="104"/>
    </row>
    <row r="116" spans="6:8" x14ac:dyDescent="0.25">
      <c r="F116" s="104"/>
      <c r="G116" s="104"/>
      <c r="H116" s="104"/>
    </row>
    <row r="117" spans="6:8" x14ac:dyDescent="0.25">
      <c r="F117" s="104"/>
      <c r="G117" s="104"/>
      <c r="H117" s="104"/>
    </row>
    <row r="118" spans="6:8" x14ac:dyDescent="0.25">
      <c r="F118" s="104"/>
      <c r="G118" s="104"/>
      <c r="H118" s="104"/>
    </row>
    <row r="119" spans="6:8" x14ac:dyDescent="0.25">
      <c r="F119" s="104"/>
      <c r="G119" s="104"/>
      <c r="H119" s="104"/>
    </row>
    <row r="120" spans="6:8" x14ac:dyDescent="0.25">
      <c r="F120" s="104"/>
      <c r="G120" s="104"/>
      <c r="H120" s="104"/>
    </row>
    <row r="121" spans="6:8" ht="16.5" x14ac:dyDescent="0.3">
      <c r="F121" s="109"/>
      <c r="G121" s="298"/>
      <c r="H121" s="298"/>
    </row>
    <row r="122" spans="6:8" ht="16.5" x14ac:dyDescent="0.3">
      <c r="F122" s="109"/>
      <c r="G122" s="109"/>
      <c r="H122" s="109"/>
    </row>
    <row r="123" spans="6:8" ht="16.5" x14ac:dyDescent="0.3">
      <c r="F123" s="109"/>
      <c r="G123" s="298"/>
      <c r="H123" s="298"/>
    </row>
    <row r="124" spans="6:8" ht="16.5" x14ac:dyDescent="0.3">
      <c r="F124" s="109"/>
      <c r="G124" s="109"/>
      <c r="H124" s="109"/>
    </row>
    <row r="125" spans="6:8" ht="16.5" x14ac:dyDescent="0.3">
      <c r="F125" s="109"/>
      <c r="G125" s="109"/>
      <c r="H125" s="109"/>
    </row>
    <row r="126" spans="6:8" ht="16.5" x14ac:dyDescent="0.3">
      <c r="F126" s="109"/>
      <c r="G126" s="109"/>
      <c r="H126" s="109"/>
    </row>
    <row r="127" spans="6:8" ht="16.5" x14ac:dyDescent="0.3">
      <c r="F127" s="109"/>
      <c r="G127" s="298"/>
      <c r="H127" s="298"/>
    </row>
    <row r="128" spans="6:8" ht="16.5" x14ac:dyDescent="0.3">
      <c r="F128" s="109"/>
      <c r="G128" s="109"/>
      <c r="H128" s="109"/>
    </row>
  </sheetData>
  <sortState ref="B12:E55">
    <sortCondition descending="1" ref="E12:E55"/>
  </sortState>
  <mergeCells count="14">
    <mergeCell ref="D68:E68"/>
    <mergeCell ref="G123:H123"/>
    <mergeCell ref="D72:E72"/>
    <mergeCell ref="G127:H127"/>
    <mergeCell ref="B6:G6"/>
    <mergeCell ref="G121:H121"/>
    <mergeCell ref="C3:E3"/>
    <mergeCell ref="C7:G7"/>
    <mergeCell ref="A8:G9"/>
    <mergeCell ref="A10:A11"/>
    <mergeCell ref="C10:C11"/>
    <mergeCell ref="D10:D11"/>
    <mergeCell ref="E10:E11"/>
    <mergeCell ref="B10:B1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H137"/>
  <sheetViews>
    <sheetView workbookViewId="0">
      <selection activeCell="C1" sqref="C1"/>
    </sheetView>
  </sheetViews>
  <sheetFormatPr baseColWidth="10" defaultRowHeight="15" x14ac:dyDescent="0.25"/>
  <cols>
    <col min="1" max="1" width="4.7109375" customWidth="1"/>
    <col min="2" max="2" width="34.28515625" customWidth="1"/>
    <col min="3" max="3" width="11.85546875" customWidth="1"/>
    <col min="4" max="4" width="13" customWidth="1"/>
    <col min="5" max="5" width="12.28515625" customWidth="1"/>
  </cols>
  <sheetData>
    <row r="1" spans="1:7" ht="20.25" x14ac:dyDescent="0.3">
      <c r="A1" s="1" t="s">
        <v>929</v>
      </c>
      <c r="B1" s="6"/>
      <c r="C1" s="31" t="s">
        <v>5</v>
      </c>
      <c r="D1" s="31"/>
      <c r="E1" s="31"/>
    </row>
    <row r="2" spans="1:7" ht="15.75" x14ac:dyDescent="0.25">
      <c r="A2" s="1" t="s">
        <v>930</v>
      </c>
      <c r="B2" s="6"/>
      <c r="C2" s="276" t="s">
        <v>6</v>
      </c>
      <c r="D2" s="276"/>
      <c r="E2" s="276"/>
    </row>
    <row r="3" spans="1:7" ht="16.5" x14ac:dyDescent="0.3">
      <c r="A3" s="1" t="s">
        <v>931</v>
      </c>
      <c r="B3" s="6"/>
      <c r="C3" s="2"/>
      <c r="D3" s="2"/>
      <c r="E3" s="2"/>
    </row>
    <row r="4" spans="1:7" ht="16.5" x14ac:dyDescent="0.3">
      <c r="A4" s="1" t="s">
        <v>932</v>
      </c>
      <c r="B4" s="6"/>
      <c r="C4" s="2"/>
      <c r="D4" s="3"/>
      <c r="E4" s="3"/>
    </row>
    <row r="5" spans="1:7" ht="16.5" x14ac:dyDescent="0.3">
      <c r="A5" s="2"/>
      <c r="B5" s="279" t="s">
        <v>934</v>
      </c>
      <c r="C5" s="279"/>
      <c r="D5" s="279"/>
      <c r="E5" s="279"/>
      <c r="F5" s="279"/>
      <c r="G5" s="279"/>
    </row>
    <row r="6" spans="1:7" ht="18" x14ac:dyDescent="0.3">
      <c r="A6" s="2"/>
      <c r="B6" s="285" t="s">
        <v>391</v>
      </c>
      <c r="C6" s="285"/>
      <c r="D6" s="285"/>
      <c r="E6" s="285"/>
      <c r="F6" s="285"/>
      <c r="G6" s="285"/>
    </row>
    <row r="7" spans="1:7" ht="16.5" customHeight="1" x14ac:dyDescent="0.3">
      <c r="A7" s="2"/>
      <c r="B7" s="280" t="s">
        <v>948</v>
      </c>
      <c r="C7" s="280"/>
      <c r="D7" s="280"/>
      <c r="E7" s="280"/>
      <c r="F7" s="280"/>
      <c r="G7" s="280"/>
    </row>
    <row r="8" spans="1:7" ht="16.5" x14ac:dyDescent="0.3">
      <c r="A8" s="2"/>
      <c r="B8" s="280"/>
      <c r="C8" s="280"/>
      <c r="D8" s="280"/>
      <c r="E8" s="280"/>
      <c r="F8" s="280"/>
      <c r="G8" s="280"/>
    </row>
    <row r="9" spans="1:7" ht="16.5" x14ac:dyDescent="0.3">
      <c r="A9" s="2"/>
      <c r="B9" s="278"/>
      <c r="C9" s="278"/>
      <c r="D9" s="278"/>
      <c r="E9" s="278"/>
    </row>
    <row r="10" spans="1:7" ht="42.75" customHeight="1" x14ac:dyDescent="0.25">
      <c r="A10" s="30" t="s">
        <v>106</v>
      </c>
      <c r="B10" s="46" t="s">
        <v>0</v>
      </c>
      <c r="C10" s="28" t="s">
        <v>208</v>
      </c>
      <c r="D10" s="28" t="s">
        <v>209</v>
      </c>
      <c r="E10" s="28" t="s">
        <v>210</v>
      </c>
    </row>
    <row r="11" spans="1:7" ht="16.5" x14ac:dyDescent="0.3">
      <c r="A11" s="10" t="s">
        <v>110</v>
      </c>
      <c r="B11" s="200" t="s">
        <v>707</v>
      </c>
      <c r="C11" s="232">
        <v>13.333333333333334</v>
      </c>
      <c r="D11" s="232">
        <v>13.636363636363637</v>
      </c>
      <c r="E11" s="233">
        <v>13.535353535353536</v>
      </c>
    </row>
    <row r="12" spans="1:7" ht="18" x14ac:dyDescent="0.3">
      <c r="A12" s="10" t="s">
        <v>212</v>
      </c>
      <c r="B12" s="200" t="s">
        <v>698</v>
      </c>
      <c r="C12" s="232">
        <v>14.222222222222221</v>
      </c>
      <c r="D12" s="232">
        <v>13.090909090909092</v>
      </c>
      <c r="E12" s="234">
        <v>13.468013468013467</v>
      </c>
    </row>
    <row r="13" spans="1:7" ht="18" x14ac:dyDescent="0.3">
      <c r="A13" s="10" t="s">
        <v>213</v>
      </c>
      <c r="B13" s="200" t="s">
        <v>694</v>
      </c>
      <c r="C13" s="232">
        <v>13.777777777777779</v>
      </c>
      <c r="D13" s="232">
        <v>13.272727272727273</v>
      </c>
      <c r="E13" s="234">
        <v>13.441077441077441</v>
      </c>
    </row>
    <row r="14" spans="1:7" ht="18" x14ac:dyDescent="0.3">
      <c r="A14" s="10" t="s">
        <v>214</v>
      </c>
      <c r="B14" s="200" t="s">
        <v>664</v>
      </c>
      <c r="C14" s="232">
        <v>13.444444444444445</v>
      </c>
      <c r="D14" s="232">
        <v>12.818181818181818</v>
      </c>
      <c r="E14" s="234">
        <v>13.026936026936028</v>
      </c>
    </row>
    <row r="15" spans="1:7" ht="18" x14ac:dyDescent="0.3">
      <c r="A15" s="10" t="s">
        <v>215</v>
      </c>
      <c r="B15" s="200" t="s">
        <v>677</v>
      </c>
      <c r="C15" s="232">
        <v>13.777777777777779</v>
      </c>
      <c r="D15" s="232">
        <v>12.272727272727273</v>
      </c>
      <c r="E15" s="234">
        <v>12.774410774410775</v>
      </c>
    </row>
    <row r="16" spans="1:7" ht="18" x14ac:dyDescent="0.3">
      <c r="A16" s="10" t="s">
        <v>216</v>
      </c>
      <c r="B16" s="200" t="s">
        <v>667</v>
      </c>
      <c r="C16" s="232">
        <v>14.444444444444445</v>
      </c>
      <c r="D16" s="232">
        <v>11.454545454545455</v>
      </c>
      <c r="E16" s="234">
        <v>12.451178451178452</v>
      </c>
    </row>
    <row r="17" spans="1:5" ht="18" x14ac:dyDescent="0.3">
      <c r="A17" s="10" t="s">
        <v>217</v>
      </c>
      <c r="B17" s="200" t="s">
        <v>663</v>
      </c>
      <c r="C17" s="232">
        <v>13.444444444444445</v>
      </c>
      <c r="D17" s="232">
        <v>11.818181818181818</v>
      </c>
      <c r="E17" s="235">
        <v>12.360269360269362</v>
      </c>
    </row>
    <row r="18" spans="1:5" ht="18" x14ac:dyDescent="0.3">
      <c r="A18" s="10" t="s">
        <v>218</v>
      </c>
      <c r="B18" s="200" t="s">
        <v>711</v>
      </c>
      <c r="C18" s="232">
        <v>13.444444444444445</v>
      </c>
      <c r="D18" s="232">
        <v>11.818181818181818</v>
      </c>
      <c r="E18" s="234">
        <v>12.360269360269362</v>
      </c>
    </row>
    <row r="19" spans="1:5" ht="18" x14ac:dyDescent="0.3">
      <c r="A19" s="10" t="s">
        <v>219</v>
      </c>
      <c r="B19" s="200" t="s">
        <v>669</v>
      </c>
      <c r="C19" s="232">
        <v>13.222222222222221</v>
      </c>
      <c r="D19" s="232">
        <v>11.454545454545455</v>
      </c>
      <c r="E19" s="235">
        <v>12.043771043771045</v>
      </c>
    </row>
    <row r="20" spans="1:5" ht="18" x14ac:dyDescent="0.3">
      <c r="A20" s="10" t="s">
        <v>220</v>
      </c>
      <c r="B20" s="200" t="s">
        <v>710</v>
      </c>
      <c r="C20" s="232">
        <v>13.555555555555555</v>
      </c>
      <c r="D20" s="232">
        <v>9.8181818181818183</v>
      </c>
      <c r="E20" s="235">
        <v>11.063973063973064</v>
      </c>
    </row>
    <row r="21" spans="1:5" ht="18" x14ac:dyDescent="0.3">
      <c r="A21" s="10" t="s">
        <v>221</v>
      </c>
      <c r="B21" s="200" t="s">
        <v>662</v>
      </c>
      <c r="C21" s="232">
        <v>12.333333333333334</v>
      </c>
      <c r="D21" s="232">
        <v>9.545454545454545</v>
      </c>
      <c r="E21" s="234">
        <v>10.474747474747474</v>
      </c>
    </row>
    <row r="22" spans="1:5" ht="18" x14ac:dyDescent="0.3">
      <c r="A22" s="10" t="s">
        <v>222</v>
      </c>
      <c r="B22" s="200" t="s">
        <v>671</v>
      </c>
      <c r="C22" s="232">
        <v>12.666666666666666</v>
      </c>
      <c r="D22" s="232">
        <v>8.7272727272727266</v>
      </c>
      <c r="E22" s="235">
        <v>10.04040404040404</v>
      </c>
    </row>
    <row r="23" spans="1:5" ht="18" x14ac:dyDescent="0.3">
      <c r="A23" s="10" t="s">
        <v>223</v>
      </c>
      <c r="B23" s="200" t="s">
        <v>699</v>
      </c>
      <c r="C23" s="232">
        <v>10.666666666666666</v>
      </c>
      <c r="D23" s="232">
        <v>9.7272727272727266</v>
      </c>
      <c r="E23" s="235">
        <v>10.04040404040404</v>
      </c>
    </row>
    <row r="24" spans="1:5" ht="18" x14ac:dyDescent="0.3">
      <c r="A24" s="10" t="s">
        <v>224</v>
      </c>
      <c r="B24" s="200" t="s">
        <v>709</v>
      </c>
      <c r="C24" s="232">
        <v>11.888888888888889</v>
      </c>
      <c r="D24" s="232">
        <v>8.9090909090909083</v>
      </c>
      <c r="E24" s="233">
        <v>9.9023569023569014</v>
      </c>
    </row>
    <row r="25" spans="1:5" ht="18" x14ac:dyDescent="0.3">
      <c r="A25" s="10" t="s">
        <v>225</v>
      </c>
      <c r="B25" s="200" t="s">
        <v>686</v>
      </c>
      <c r="C25" s="232">
        <v>10.888888888888889</v>
      </c>
      <c r="D25" s="232">
        <v>8.8181818181818183</v>
      </c>
      <c r="E25" s="235">
        <v>9.5084175084175087</v>
      </c>
    </row>
    <row r="26" spans="1:5" ht="18" x14ac:dyDescent="0.3">
      <c r="A26" s="10" t="s">
        <v>226</v>
      </c>
      <c r="B26" s="200" t="s">
        <v>712</v>
      </c>
      <c r="C26" s="232">
        <v>11.777777777777779</v>
      </c>
      <c r="D26" s="232">
        <v>8.3636363636363633</v>
      </c>
      <c r="E26" s="234">
        <v>9.5016835016835017</v>
      </c>
    </row>
    <row r="27" spans="1:5" ht="11.45" customHeight="1" x14ac:dyDescent="0.3">
      <c r="A27" s="10" t="s">
        <v>227</v>
      </c>
      <c r="B27" s="200" t="s">
        <v>685</v>
      </c>
      <c r="C27" s="232">
        <v>12.444444444444445</v>
      </c>
      <c r="D27" s="232">
        <v>8</v>
      </c>
      <c r="E27" s="234">
        <v>9.481481481481481</v>
      </c>
    </row>
    <row r="28" spans="1:5" ht="18" x14ac:dyDescent="0.3">
      <c r="A28" s="10" t="s">
        <v>228</v>
      </c>
      <c r="B28" s="200" t="s">
        <v>673</v>
      </c>
      <c r="C28" s="232">
        <v>11.333333333333334</v>
      </c>
      <c r="D28" s="232">
        <v>8.454545454545455</v>
      </c>
      <c r="E28" s="235">
        <v>9.4141414141414135</v>
      </c>
    </row>
    <row r="29" spans="1:5" ht="18" x14ac:dyDescent="0.3">
      <c r="A29" s="10" t="s">
        <v>229</v>
      </c>
      <c r="B29" s="200" t="s">
        <v>692</v>
      </c>
      <c r="C29" s="232">
        <v>10.666666666666666</v>
      </c>
      <c r="D29" s="232">
        <v>8.1818181818181817</v>
      </c>
      <c r="E29" s="234">
        <v>9.0101010101010104</v>
      </c>
    </row>
    <row r="30" spans="1:5" ht="18" x14ac:dyDescent="0.3">
      <c r="A30" s="10" t="s">
        <v>230</v>
      </c>
      <c r="B30" s="200" t="s">
        <v>706</v>
      </c>
      <c r="C30" s="232">
        <v>11.444444444444445</v>
      </c>
      <c r="D30" s="232">
        <v>7.7272727272727275</v>
      </c>
      <c r="E30" s="235">
        <v>8.9663299663299671</v>
      </c>
    </row>
    <row r="31" spans="1:5" ht="18" x14ac:dyDescent="0.3">
      <c r="A31" s="10" t="s">
        <v>231</v>
      </c>
      <c r="B31" s="200" t="s">
        <v>704</v>
      </c>
      <c r="C31" s="232">
        <v>11.111111111111111</v>
      </c>
      <c r="D31" s="232">
        <v>7.4545454545454541</v>
      </c>
      <c r="E31" s="234">
        <v>8.673400673400673</v>
      </c>
    </row>
    <row r="32" spans="1:5" ht="18" x14ac:dyDescent="0.3">
      <c r="A32" s="10" t="s">
        <v>232</v>
      </c>
      <c r="B32" s="200" t="s">
        <v>680</v>
      </c>
      <c r="C32" s="232">
        <v>10.777777777777779</v>
      </c>
      <c r="D32" s="232">
        <v>7.5454545454545459</v>
      </c>
      <c r="E32" s="234">
        <v>8.6228956228956246</v>
      </c>
    </row>
    <row r="33" spans="1:5" ht="18" x14ac:dyDescent="0.3">
      <c r="A33" s="10" t="s">
        <v>233</v>
      </c>
      <c r="B33" s="200" t="s">
        <v>678</v>
      </c>
      <c r="C33" s="232">
        <v>9.3333333333333339</v>
      </c>
      <c r="D33" s="232">
        <v>7.2727272727272725</v>
      </c>
      <c r="E33" s="235">
        <v>7.9595959595959593</v>
      </c>
    </row>
    <row r="34" spans="1:5" ht="18" x14ac:dyDescent="0.3">
      <c r="A34" s="10" t="s">
        <v>234</v>
      </c>
      <c r="B34" s="200" t="s">
        <v>688</v>
      </c>
      <c r="C34" s="232">
        <v>10.333333333333334</v>
      </c>
      <c r="D34" s="232">
        <v>6.7272727272727275</v>
      </c>
      <c r="E34" s="234">
        <v>7.9292929292929299</v>
      </c>
    </row>
    <row r="35" spans="1:5" ht="18" x14ac:dyDescent="0.3">
      <c r="A35" s="10" t="s">
        <v>235</v>
      </c>
      <c r="B35" s="200" t="s">
        <v>708</v>
      </c>
      <c r="C35" s="232">
        <v>10.333333333333334</v>
      </c>
      <c r="D35" s="232">
        <v>6.4545454545454541</v>
      </c>
      <c r="E35" s="233">
        <v>7.7474747474747474</v>
      </c>
    </row>
    <row r="36" spans="1:5" ht="18" x14ac:dyDescent="0.3">
      <c r="A36" s="10" t="s">
        <v>236</v>
      </c>
      <c r="B36" s="200" t="s">
        <v>659</v>
      </c>
      <c r="C36" s="232">
        <v>9.7777777777777786</v>
      </c>
      <c r="D36" s="232">
        <v>6.6363636363636367</v>
      </c>
      <c r="E36" s="234">
        <v>7.6835016835016843</v>
      </c>
    </row>
    <row r="37" spans="1:5" ht="18" x14ac:dyDescent="0.3">
      <c r="A37" s="10" t="s">
        <v>237</v>
      </c>
      <c r="B37" s="200" t="s">
        <v>682</v>
      </c>
      <c r="C37" s="232">
        <v>10.666666666666666</v>
      </c>
      <c r="D37" s="232">
        <v>6.1818181818181817</v>
      </c>
      <c r="E37" s="235">
        <v>7.6767676767676774</v>
      </c>
    </row>
    <row r="38" spans="1:5" ht="18" x14ac:dyDescent="0.3">
      <c r="A38" s="10" t="s">
        <v>238</v>
      </c>
      <c r="B38" s="200" t="s">
        <v>691</v>
      </c>
      <c r="C38" s="232">
        <v>10.222222222222221</v>
      </c>
      <c r="D38" s="232">
        <v>6.2727272727272725</v>
      </c>
      <c r="E38" s="234">
        <v>7.5892255892255891</v>
      </c>
    </row>
    <row r="39" spans="1:5" ht="18" x14ac:dyDescent="0.3">
      <c r="A39" s="10" t="s">
        <v>239</v>
      </c>
      <c r="B39" s="200" t="s">
        <v>672</v>
      </c>
      <c r="C39" s="232">
        <v>11.777777777777779</v>
      </c>
      <c r="D39" s="232">
        <v>5.0909090909090908</v>
      </c>
      <c r="E39" s="235">
        <v>7.3198653198653192</v>
      </c>
    </row>
    <row r="40" spans="1:5" ht="18" x14ac:dyDescent="0.3">
      <c r="A40" s="10" t="s">
        <v>240</v>
      </c>
      <c r="B40" s="200" t="s">
        <v>683</v>
      </c>
      <c r="C40" s="232">
        <v>10.111111111111111</v>
      </c>
      <c r="D40" s="232">
        <v>5.8181818181818183</v>
      </c>
      <c r="E40" s="234">
        <v>7.2491582491582491</v>
      </c>
    </row>
    <row r="41" spans="1:5" ht="18" x14ac:dyDescent="0.3">
      <c r="A41" s="10" t="s">
        <v>241</v>
      </c>
      <c r="B41" s="200" t="s">
        <v>670</v>
      </c>
      <c r="C41" s="232">
        <v>10.444444444444445</v>
      </c>
      <c r="D41" s="232">
        <v>5.5454545454545459</v>
      </c>
      <c r="E41" s="234">
        <v>7.1784511784511791</v>
      </c>
    </row>
    <row r="42" spans="1:5" ht="18" x14ac:dyDescent="0.3">
      <c r="A42" s="10" t="s">
        <v>242</v>
      </c>
      <c r="B42" s="200" t="s">
        <v>660</v>
      </c>
      <c r="C42" s="232">
        <v>10.222222222222221</v>
      </c>
      <c r="D42" s="232">
        <v>5.4545454545454541</v>
      </c>
      <c r="E42" s="235">
        <v>7.0437710437710424</v>
      </c>
    </row>
    <row r="43" spans="1:5" ht="18" x14ac:dyDescent="0.3">
      <c r="A43" s="10" t="s">
        <v>243</v>
      </c>
      <c r="B43" s="200" t="s">
        <v>714</v>
      </c>
      <c r="C43" s="232">
        <v>9.4444444444444446</v>
      </c>
      <c r="D43" s="232">
        <v>5.8181818181818183</v>
      </c>
      <c r="E43" s="235">
        <v>7.0269360269360277</v>
      </c>
    </row>
    <row r="44" spans="1:5" ht="21.75" customHeight="1" x14ac:dyDescent="0.3">
      <c r="A44" s="10" t="s">
        <v>244</v>
      </c>
      <c r="B44" s="200" t="s">
        <v>705</v>
      </c>
      <c r="C44" s="232">
        <v>9.7777777777777786</v>
      </c>
      <c r="D44" s="232">
        <v>5.5454545454545459</v>
      </c>
      <c r="E44" s="234">
        <v>6.9562289562289576</v>
      </c>
    </row>
    <row r="45" spans="1:5" ht="18" x14ac:dyDescent="0.3">
      <c r="A45" s="10" t="s">
        <v>245</v>
      </c>
      <c r="B45" s="200" t="s">
        <v>702</v>
      </c>
      <c r="C45" s="232">
        <v>9.1</v>
      </c>
      <c r="D45" s="232">
        <v>5.833333333333333</v>
      </c>
      <c r="E45" s="235">
        <v>6.9222222222222216</v>
      </c>
    </row>
    <row r="46" spans="1:5" ht="18" x14ac:dyDescent="0.3">
      <c r="A46" s="10" t="s">
        <v>246</v>
      </c>
      <c r="B46" s="200" t="s">
        <v>679</v>
      </c>
      <c r="C46" s="232">
        <v>10.222222222222221</v>
      </c>
      <c r="D46" s="232">
        <v>5.1818181818181817</v>
      </c>
      <c r="E46" s="234">
        <v>6.8619528619528616</v>
      </c>
    </row>
    <row r="47" spans="1:5" ht="18" x14ac:dyDescent="0.3">
      <c r="A47" s="10" t="s">
        <v>247</v>
      </c>
      <c r="B47" s="200" t="s">
        <v>696</v>
      </c>
      <c r="C47" s="232">
        <v>10</v>
      </c>
      <c r="D47" s="232">
        <v>5</v>
      </c>
      <c r="E47" s="234">
        <v>6.666666666666667</v>
      </c>
    </row>
    <row r="48" spans="1:5" ht="18" x14ac:dyDescent="0.3">
      <c r="A48" s="10" t="s">
        <v>248</v>
      </c>
      <c r="B48" s="200" t="s">
        <v>675</v>
      </c>
      <c r="C48" s="232">
        <v>10.222222222222221</v>
      </c>
      <c r="D48" s="232">
        <v>4.8181818181818183</v>
      </c>
      <c r="E48" s="235">
        <v>6.6195286195286194</v>
      </c>
    </row>
    <row r="49" spans="1:5" ht="18" x14ac:dyDescent="0.3">
      <c r="A49" s="10" t="s">
        <v>249</v>
      </c>
      <c r="B49" s="200" t="s">
        <v>713</v>
      </c>
      <c r="C49" s="232">
        <v>8.7777777777777786</v>
      </c>
      <c r="D49" s="232">
        <v>5.4545454545454541</v>
      </c>
      <c r="E49" s="234">
        <v>6.5622895622895614</v>
      </c>
    </row>
    <row r="50" spans="1:5" ht="18" x14ac:dyDescent="0.3">
      <c r="A50" s="10" t="s">
        <v>250</v>
      </c>
      <c r="B50" s="200" t="s">
        <v>666</v>
      </c>
      <c r="C50" s="232">
        <v>9.5</v>
      </c>
      <c r="D50" s="232">
        <v>5.083333333333333</v>
      </c>
      <c r="E50" s="234">
        <v>6.5555555555555545</v>
      </c>
    </row>
    <row r="51" spans="1:5" ht="18" x14ac:dyDescent="0.3">
      <c r="A51" s="10" t="s">
        <v>251</v>
      </c>
      <c r="B51" s="200" t="s">
        <v>695</v>
      </c>
      <c r="C51" s="232">
        <v>9.4444444444444446</v>
      </c>
      <c r="D51" s="232">
        <v>5.0909090909090908</v>
      </c>
      <c r="E51" s="234">
        <v>6.5420875420875424</v>
      </c>
    </row>
    <row r="52" spans="1:5" s="57" customFormat="1" ht="18" x14ac:dyDescent="0.3">
      <c r="A52" s="10" t="s">
        <v>252</v>
      </c>
      <c r="B52" s="200" t="s">
        <v>700</v>
      </c>
      <c r="C52" s="232">
        <v>9.2222222222222214</v>
      </c>
      <c r="D52" s="232">
        <v>4.5454545454545459</v>
      </c>
      <c r="E52" s="234">
        <v>6.1043771043771047</v>
      </c>
    </row>
    <row r="53" spans="1:5" ht="18" customHeight="1" x14ac:dyDescent="0.3">
      <c r="A53" s="10" t="s">
        <v>253</v>
      </c>
      <c r="B53" s="201" t="s">
        <v>697</v>
      </c>
      <c r="C53" s="232">
        <v>9.3333333333333339</v>
      </c>
      <c r="D53" s="232">
        <v>4.3636363636363633</v>
      </c>
      <c r="E53" s="235">
        <v>6.0202020202020208</v>
      </c>
    </row>
    <row r="54" spans="1:5" ht="18" x14ac:dyDescent="0.3">
      <c r="A54" s="10" t="s">
        <v>254</v>
      </c>
      <c r="B54" s="200" t="s">
        <v>674</v>
      </c>
      <c r="C54" s="232">
        <v>8</v>
      </c>
      <c r="D54" s="232">
        <v>4.9090909090909092</v>
      </c>
      <c r="E54" s="234">
        <v>5.9393939393939403</v>
      </c>
    </row>
    <row r="55" spans="1:5" ht="18" x14ac:dyDescent="0.3">
      <c r="A55" s="10" t="s">
        <v>255</v>
      </c>
      <c r="B55" s="200" t="s">
        <v>701</v>
      </c>
      <c r="C55" s="232">
        <v>7.8888888888888893</v>
      </c>
      <c r="D55" s="232">
        <v>4.8181818181818183</v>
      </c>
      <c r="E55" s="234">
        <v>5.8417508417508417</v>
      </c>
    </row>
    <row r="56" spans="1:5" ht="18" x14ac:dyDescent="0.3">
      <c r="A56" s="10" t="s">
        <v>256</v>
      </c>
      <c r="B56" s="200" t="s">
        <v>676</v>
      </c>
      <c r="C56" s="232">
        <v>10.777777777777779</v>
      </c>
      <c r="D56" s="232">
        <v>3.3636363636363638</v>
      </c>
      <c r="E56" s="234">
        <v>5.8350168350168348</v>
      </c>
    </row>
    <row r="57" spans="1:5" ht="18" x14ac:dyDescent="0.3">
      <c r="A57" s="10" t="s">
        <v>257</v>
      </c>
      <c r="B57" s="200" t="s">
        <v>658</v>
      </c>
      <c r="C57" s="230">
        <v>9.8888888888888893</v>
      </c>
      <c r="D57" s="231">
        <v>3.4545454545454546</v>
      </c>
      <c r="E57" s="235">
        <v>5.5993265993265995</v>
      </c>
    </row>
    <row r="58" spans="1:5" ht="18" x14ac:dyDescent="0.3">
      <c r="A58" s="10" t="s">
        <v>258</v>
      </c>
      <c r="B58" s="200" t="s">
        <v>684</v>
      </c>
      <c r="C58" s="232">
        <v>9.3333333333333339</v>
      </c>
      <c r="D58" s="232">
        <v>3.7272727272727271</v>
      </c>
      <c r="E58" s="234">
        <v>5.595959595959596</v>
      </c>
    </row>
    <row r="59" spans="1:5" ht="18" x14ac:dyDescent="0.3">
      <c r="A59" s="10" t="s">
        <v>259</v>
      </c>
      <c r="B59" s="200" t="s">
        <v>693</v>
      </c>
      <c r="C59" s="232">
        <v>9.2222222222222214</v>
      </c>
      <c r="D59" s="232">
        <v>3.6363636363636362</v>
      </c>
      <c r="E59" s="234">
        <v>5.4983164983164983</v>
      </c>
    </row>
    <row r="60" spans="1:5" ht="18" x14ac:dyDescent="0.3">
      <c r="A60" s="10" t="s">
        <v>260</v>
      </c>
      <c r="B60" s="200" t="s">
        <v>665</v>
      </c>
      <c r="C60" s="232">
        <v>7.7777777777777777</v>
      </c>
      <c r="D60" s="232">
        <v>3.7272727272727271</v>
      </c>
      <c r="E60" s="234">
        <v>5.077441077441077</v>
      </c>
    </row>
    <row r="61" spans="1:5" ht="18" x14ac:dyDescent="0.3">
      <c r="A61" s="10" t="s">
        <v>261</v>
      </c>
      <c r="B61" s="200" t="s">
        <v>687</v>
      </c>
      <c r="C61" s="232">
        <v>7.4444444444444446</v>
      </c>
      <c r="D61" s="232">
        <v>3.8181818181818183</v>
      </c>
      <c r="E61" s="234">
        <v>5.0269360269360268</v>
      </c>
    </row>
    <row r="62" spans="1:5" ht="18" x14ac:dyDescent="0.3">
      <c r="A62" s="10" t="s">
        <v>262</v>
      </c>
      <c r="B62" s="200" t="s">
        <v>661</v>
      </c>
      <c r="C62" s="232">
        <v>9.2222222222222214</v>
      </c>
      <c r="D62" s="232">
        <v>0.54545454545454541</v>
      </c>
      <c r="E62" s="234">
        <v>3.4377104377104373</v>
      </c>
    </row>
    <row r="63" spans="1:5" ht="18" x14ac:dyDescent="0.3">
      <c r="A63" s="10" t="s">
        <v>263</v>
      </c>
      <c r="B63" s="200" t="s">
        <v>690</v>
      </c>
      <c r="C63" s="232">
        <v>7</v>
      </c>
      <c r="D63" s="232">
        <v>1.3636363636363635</v>
      </c>
      <c r="E63" s="234">
        <v>3.2424242424242422</v>
      </c>
    </row>
    <row r="64" spans="1:5" ht="18" x14ac:dyDescent="0.3">
      <c r="A64" s="10" t="s">
        <v>264</v>
      </c>
      <c r="B64" s="200" t="s">
        <v>689</v>
      </c>
      <c r="C64" s="232">
        <v>7.8888888888888893</v>
      </c>
      <c r="D64" s="232">
        <v>0.90909090909090906</v>
      </c>
      <c r="E64" s="234">
        <v>3.2356902356902357</v>
      </c>
    </row>
    <row r="65" spans="1:7" ht="18" x14ac:dyDescent="0.3">
      <c r="A65" s="10" t="s">
        <v>265</v>
      </c>
      <c r="B65" s="200" t="s">
        <v>703</v>
      </c>
      <c r="C65" s="232">
        <v>4.5555555555555554</v>
      </c>
      <c r="D65" s="232">
        <v>2.2727272727272729</v>
      </c>
      <c r="E65" s="235">
        <v>3.0336700336700333</v>
      </c>
    </row>
    <row r="66" spans="1:7" ht="18" x14ac:dyDescent="0.3">
      <c r="A66" s="10" t="s">
        <v>266</v>
      </c>
      <c r="B66" s="200" t="s">
        <v>668</v>
      </c>
      <c r="C66" s="232">
        <v>3.5555555555555554</v>
      </c>
      <c r="D66" s="232">
        <v>1.5454545454545454</v>
      </c>
      <c r="E66" s="235">
        <v>2.2154882154882154</v>
      </c>
    </row>
    <row r="67" spans="1:7" ht="18" x14ac:dyDescent="0.3">
      <c r="A67" s="10" t="s">
        <v>267</v>
      </c>
      <c r="B67" s="200" t="s">
        <v>681</v>
      </c>
      <c r="C67" s="232">
        <v>4.7777777777777777</v>
      </c>
      <c r="D67" s="232">
        <v>0.18181818181818182</v>
      </c>
      <c r="E67" s="234">
        <v>1.7138047138047137</v>
      </c>
    </row>
    <row r="69" spans="1:7" ht="16.5" x14ac:dyDescent="0.3">
      <c r="B69" s="2"/>
      <c r="C69" s="281" t="s">
        <v>392</v>
      </c>
      <c r="D69" s="281"/>
      <c r="E69" s="281"/>
      <c r="F69" s="281"/>
    </row>
    <row r="70" spans="1:7" ht="16.5" x14ac:dyDescent="0.3">
      <c r="B70" s="2"/>
      <c r="C70" s="2"/>
      <c r="D70" s="2"/>
      <c r="E70" s="2"/>
      <c r="F70" s="2"/>
    </row>
    <row r="71" spans="1:7" ht="16.5" x14ac:dyDescent="0.3">
      <c r="B71" s="2"/>
      <c r="C71" s="2"/>
      <c r="D71" s="47" t="s">
        <v>393</v>
      </c>
      <c r="E71" s="47" t="s">
        <v>394</v>
      </c>
      <c r="F71" s="47" t="s">
        <v>395</v>
      </c>
    </row>
    <row r="72" spans="1:7" ht="16.5" x14ac:dyDescent="0.3">
      <c r="B72" s="2"/>
      <c r="C72" s="48" t="s">
        <v>396</v>
      </c>
      <c r="D72" s="49">
        <v>30</v>
      </c>
      <c r="E72" s="49">
        <v>27</v>
      </c>
      <c r="F72" s="49">
        <v>57</v>
      </c>
    </row>
    <row r="73" spans="1:7" ht="16.5" x14ac:dyDescent="0.3">
      <c r="B73" s="2"/>
      <c r="C73" s="10" t="s">
        <v>397</v>
      </c>
      <c r="D73" s="49">
        <v>30</v>
      </c>
      <c r="E73" s="49">
        <v>27</v>
      </c>
      <c r="F73" s="49">
        <v>57</v>
      </c>
    </row>
    <row r="74" spans="1:7" ht="16.5" x14ac:dyDescent="0.3">
      <c r="B74" s="2"/>
      <c r="C74" s="10" t="s">
        <v>398</v>
      </c>
      <c r="D74" s="49">
        <v>0</v>
      </c>
      <c r="E74" s="49">
        <v>0</v>
      </c>
      <c r="F74" s="49">
        <v>0</v>
      </c>
    </row>
    <row r="75" spans="1:7" ht="16.5" x14ac:dyDescent="0.3">
      <c r="B75" s="2"/>
      <c r="C75" s="10" t="s">
        <v>399</v>
      </c>
      <c r="D75" s="49">
        <v>9</v>
      </c>
      <c r="E75" s="49">
        <v>4</v>
      </c>
      <c r="F75" s="49">
        <v>13</v>
      </c>
    </row>
    <row r="76" spans="1:7" ht="16.5" x14ac:dyDescent="0.3">
      <c r="B76" s="2"/>
      <c r="C76" s="10" t="s">
        <v>400</v>
      </c>
      <c r="D76" s="49">
        <v>21</v>
      </c>
      <c r="E76" s="49">
        <v>23</v>
      </c>
      <c r="F76" s="49">
        <v>44</v>
      </c>
    </row>
    <row r="77" spans="1:7" ht="16.5" x14ac:dyDescent="0.3">
      <c r="B77" s="2"/>
      <c r="C77" s="10" t="s">
        <v>401</v>
      </c>
      <c r="D77" s="50">
        <f>+D75/D72</f>
        <v>0.3</v>
      </c>
      <c r="E77" s="50">
        <f>+E75/E72</f>
        <v>0.14814814814814814</v>
      </c>
      <c r="F77" s="50">
        <f>+F75/F72</f>
        <v>0.22807017543859648</v>
      </c>
    </row>
    <row r="79" spans="1:7" ht="16.5" x14ac:dyDescent="0.3">
      <c r="B79" s="2"/>
      <c r="C79" s="2"/>
      <c r="D79" s="2"/>
      <c r="E79" s="15"/>
      <c r="F79" s="59"/>
      <c r="G79" s="53"/>
    </row>
    <row r="80" spans="1:7" ht="16.5" x14ac:dyDescent="0.3">
      <c r="B80" s="2"/>
      <c r="C80" s="2"/>
      <c r="D80" s="2"/>
      <c r="E80" s="2"/>
      <c r="F80" s="2"/>
    </row>
    <row r="81" spans="2:7" ht="16.5" x14ac:dyDescent="0.3">
      <c r="B81" s="2"/>
      <c r="C81" s="2"/>
      <c r="D81" s="15" t="s">
        <v>925</v>
      </c>
      <c r="E81" s="241"/>
      <c r="F81" s="53"/>
      <c r="G81" s="53"/>
    </row>
    <row r="82" spans="2:7" ht="16.5" x14ac:dyDescent="0.3">
      <c r="B82" s="2"/>
      <c r="C82" s="2"/>
      <c r="D82" s="2"/>
      <c r="E82" s="2"/>
      <c r="F82" s="2"/>
    </row>
    <row r="83" spans="2:7" ht="18.75" x14ac:dyDescent="0.3">
      <c r="B83" s="285" t="s">
        <v>921</v>
      </c>
      <c r="C83" s="285"/>
      <c r="D83" s="15"/>
      <c r="E83" s="244" t="s">
        <v>404</v>
      </c>
      <c r="F83" s="15"/>
    </row>
    <row r="84" spans="2:7" ht="16.5" x14ac:dyDescent="0.3">
      <c r="B84" s="15"/>
      <c r="C84" s="15"/>
      <c r="D84" s="15"/>
      <c r="E84" s="15"/>
      <c r="F84" s="15"/>
    </row>
    <row r="85" spans="2:7" ht="16.5" x14ac:dyDescent="0.3">
      <c r="B85" s="15"/>
      <c r="C85" s="15"/>
      <c r="D85" s="15"/>
      <c r="E85" s="15"/>
      <c r="F85" s="15"/>
      <c r="G85" s="53"/>
    </row>
    <row r="88" spans="2:7" ht="16.5" x14ac:dyDescent="0.3">
      <c r="B88" s="285" t="s">
        <v>922</v>
      </c>
      <c r="C88" s="285"/>
      <c r="D88" s="15"/>
      <c r="E88" s="15" t="s">
        <v>8</v>
      </c>
      <c r="F88" s="15"/>
    </row>
    <row r="113" spans="1:5" s="57" customFormat="1" x14ac:dyDescent="0.25"/>
    <row r="114" spans="1:5" s="57" customFormat="1" x14ac:dyDescent="0.25"/>
    <row r="115" spans="1:5" s="57" customFormat="1" x14ac:dyDescent="0.25"/>
    <row r="120" spans="1:5" ht="16.5" x14ac:dyDescent="0.3">
      <c r="A120" s="18"/>
      <c r="B120" s="54"/>
      <c r="C120" s="19"/>
      <c r="D120" s="19"/>
      <c r="E120" s="19"/>
    </row>
    <row r="131" spans="7:8" ht="16.5" x14ac:dyDescent="0.3">
      <c r="G131" s="34"/>
      <c r="H131" s="53"/>
    </row>
    <row r="132" spans="7:8" ht="16.5" x14ac:dyDescent="0.3">
      <c r="G132" s="2"/>
    </row>
    <row r="133" spans="7:8" ht="16.5" x14ac:dyDescent="0.3">
      <c r="G133" s="34"/>
      <c r="H133" s="53"/>
    </row>
    <row r="134" spans="7:8" ht="16.5" x14ac:dyDescent="0.3">
      <c r="G134" s="2"/>
    </row>
    <row r="135" spans="7:8" ht="16.5" x14ac:dyDescent="0.3">
      <c r="G135" s="2"/>
    </row>
    <row r="136" spans="7:8" ht="16.5" x14ac:dyDescent="0.3">
      <c r="G136" s="2"/>
    </row>
    <row r="137" spans="7:8" ht="16.5" x14ac:dyDescent="0.3">
      <c r="G137" s="34"/>
      <c r="H137" s="53"/>
    </row>
  </sheetData>
  <sortState ref="B11:E67">
    <sortCondition descending="1" ref="E11:E67"/>
  </sortState>
  <mergeCells count="8">
    <mergeCell ref="B88:C88"/>
    <mergeCell ref="C69:F69"/>
    <mergeCell ref="C2:E2"/>
    <mergeCell ref="B9:E9"/>
    <mergeCell ref="B5:G5"/>
    <mergeCell ref="B6:G6"/>
    <mergeCell ref="B7:G8"/>
    <mergeCell ref="B83:C83"/>
  </mergeCells>
  <pageMargins left="0.7" right="0.7" top="0.75" bottom="0.75" header="0.3" footer="0.3"/>
  <pageSetup scale="9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G137"/>
  <sheetViews>
    <sheetView topLeftCell="A2" workbookViewId="0">
      <selection activeCell="B11" sqref="B11:B118"/>
    </sheetView>
  </sheetViews>
  <sheetFormatPr baseColWidth="10" defaultRowHeight="15" x14ac:dyDescent="0.25"/>
  <cols>
    <col min="1" max="1" width="5.85546875" customWidth="1"/>
    <col min="2" max="2" width="30.42578125" customWidth="1"/>
    <col min="4" max="4" width="13.5703125" customWidth="1"/>
    <col min="5" max="5" width="14.7109375" customWidth="1"/>
  </cols>
  <sheetData>
    <row r="1" spans="1:7" ht="20.25" x14ac:dyDescent="0.3">
      <c r="A1" s="92" t="s">
        <v>1</v>
      </c>
      <c r="B1" s="109"/>
      <c r="C1" s="73" t="s">
        <v>5</v>
      </c>
      <c r="D1" s="73"/>
      <c r="E1" s="73"/>
      <c r="F1" s="104"/>
      <c r="G1" s="104"/>
    </row>
    <row r="2" spans="1:7" ht="16.5" x14ac:dyDescent="0.3">
      <c r="A2" s="92" t="s">
        <v>2</v>
      </c>
      <c r="B2" s="109"/>
      <c r="C2" s="310" t="s">
        <v>6</v>
      </c>
      <c r="D2" s="310"/>
      <c r="E2" s="310"/>
      <c r="F2" s="104"/>
      <c r="G2" s="104"/>
    </row>
    <row r="3" spans="1:7" ht="16.5" x14ac:dyDescent="0.3">
      <c r="A3" s="92" t="s">
        <v>3</v>
      </c>
      <c r="B3" s="109"/>
      <c r="C3" s="109"/>
      <c r="D3" s="109"/>
      <c r="E3" s="109"/>
      <c r="F3" s="104"/>
      <c r="G3" s="104"/>
    </row>
    <row r="4" spans="1:7" ht="16.5" x14ac:dyDescent="0.3">
      <c r="A4" s="92" t="s">
        <v>4</v>
      </c>
      <c r="B4" s="109"/>
      <c r="C4" s="109"/>
      <c r="D4" s="3"/>
      <c r="E4" s="3"/>
      <c r="F4" s="104"/>
      <c r="G4" s="104"/>
    </row>
    <row r="5" spans="1:7" ht="18" x14ac:dyDescent="0.3">
      <c r="A5" s="109"/>
      <c r="B5" s="279" t="s">
        <v>447</v>
      </c>
      <c r="C5" s="279"/>
      <c r="D5" s="279"/>
      <c r="E5" s="279"/>
      <c r="F5" s="279"/>
      <c r="G5" s="279"/>
    </row>
    <row r="6" spans="1:7" ht="18" x14ac:dyDescent="0.3">
      <c r="A6" s="109"/>
      <c r="B6" s="279" t="s">
        <v>391</v>
      </c>
      <c r="C6" s="279"/>
      <c r="D6" s="279"/>
      <c r="E6" s="279"/>
      <c r="F6" s="279"/>
      <c r="G6" s="279"/>
    </row>
    <row r="7" spans="1:7" ht="16.5" x14ac:dyDescent="0.3">
      <c r="A7" s="109"/>
      <c r="B7" s="280" t="s">
        <v>452</v>
      </c>
      <c r="C7" s="280"/>
      <c r="D7" s="280"/>
      <c r="E7" s="280"/>
      <c r="F7" s="280"/>
      <c r="G7" s="280"/>
    </row>
    <row r="8" spans="1:7" ht="16.5" x14ac:dyDescent="0.3">
      <c r="A8" s="109"/>
      <c r="B8" s="280"/>
      <c r="C8" s="280"/>
      <c r="D8" s="280"/>
      <c r="E8" s="280"/>
      <c r="F8" s="280"/>
      <c r="G8" s="280"/>
    </row>
    <row r="9" spans="1:7" ht="16.5" x14ac:dyDescent="0.3">
      <c r="A9" s="109"/>
      <c r="B9" s="300"/>
      <c r="C9" s="300"/>
      <c r="D9" s="300"/>
      <c r="E9" s="300"/>
      <c r="F9" s="104"/>
      <c r="G9" s="104"/>
    </row>
    <row r="10" spans="1:7" ht="42" customHeight="1" x14ac:dyDescent="0.25">
      <c r="A10" s="160" t="s">
        <v>106</v>
      </c>
      <c r="B10" s="183" t="s">
        <v>0</v>
      </c>
      <c r="C10" s="184" t="s">
        <v>208</v>
      </c>
      <c r="D10" s="184" t="s">
        <v>209</v>
      </c>
      <c r="E10" s="184" t="s">
        <v>445</v>
      </c>
      <c r="F10" s="104"/>
      <c r="G10" s="104"/>
    </row>
    <row r="11" spans="1:7" ht="16.5" x14ac:dyDescent="0.3">
      <c r="A11" s="105" t="s">
        <v>110</v>
      </c>
      <c r="B11" s="22"/>
      <c r="C11" s="97"/>
      <c r="D11" s="107"/>
      <c r="E11" s="144">
        <f t="shared" ref="E11:E74" si="0">+(D11*2+C11)/3</f>
        <v>0</v>
      </c>
      <c r="F11" s="104"/>
      <c r="G11" s="104"/>
    </row>
    <row r="12" spans="1:7" ht="18" x14ac:dyDescent="0.3">
      <c r="A12" s="105" t="s">
        <v>212</v>
      </c>
      <c r="B12" s="22"/>
      <c r="C12" s="107"/>
      <c r="D12" s="107"/>
      <c r="E12" s="144">
        <f t="shared" si="0"/>
        <v>0</v>
      </c>
      <c r="F12" s="104"/>
      <c r="G12" s="104"/>
    </row>
    <row r="13" spans="1:7" ht="18" x14ac:dyDescent="0.3">
      <c r="A13" s="105" t="s">
        <v>213</v>
      </c>
      <c r="B13" s="22"/>
      <c r="C13" s="97"/>
      <c r="D13" s="107"/>
      <c r="E13" s="144">
        <f t="shared" si="0"/>
        <v>0</v>
      </c>
      <c r="F13" s="104"/>
      <c r="G13" s="104"/>
    </row>
    <row r="14" spans="1:7" ht="18" x14ac:dyDescent="0.3">
      <c r="A14" s="105" t="s">
        <v>214</v>
      </c>
      <c r="B14" s="114"/>
      <c r="C14" s="107"/>
      <c r="D14" s="107"/>
      <c r="E14" s="144">
        <f t="shared" si="0"/>
        <v>0</v>
      </c>
      <c r="F14" s="104"/>
      <c r="G14" s="104"/>
    </row>
    <row r="15" spans="1:7" ht="18" x14ac:dyDescent="0.3">
      <c r="A15" s="105" t="s">
        <v>215</v>
      </c>
      <c r="B15" s="22"/>
      <c r="C15" s="97"/>
      <c r="D15" s="107"/>
      <c r="E15" s="144">
        <f t="shared" si="0"/>
        <v>0</v>
      </c>
      <c r="F15" s="104"/>
      <c r="G15" s="104"/>
    </row>
    <row r="16" spans="1:7" ht="18" x14ac:dyDescent="0.3">
      <c r="A16" s="105" t="s">
        <v>216</v>
      </c>
      <c r="B16" s="114"/>
      <c r="C16" s="107"/>
      <c r="D16" s="107"/>
      <c r="E16" s="144">
        <f t="shared" si="0"/>
        <v>0</v>
      </c>
      <c r="F16" s="104"/>
      <c r="G16" s="104"/>
    </row>
    <row r="17" spans="1:7" ht="18" x14ac:dyDescent="0.3">
      <c r="A17" s="105" t="s">
        <v>217</v>
      </c>
      <c r="B17" s="114"/>
      <c r="C17" s="107"/>
      <c r="D17" s="107"/>
      <c r="E17" s="144">
        <f t="shared" si="0"/>
        <v>0</v>
      </c>
      <c r="F17" s="104"/>
      <c r="G17" s="104"/>
    </row>
    <row r="18" spans="1:7" ht="18" x14ac:dyDescent="0.3">
      <c r="A18" s="105" t="s">
        <v>218</v>
      </c>
      <c r="B18" s="22"/>
      <c r="C18" s="97"/>
      <c r="D18" s="107"/>
      <c r="E18" s="144">
        <f t="shared" si="0"/>
        <v>0</v>
      </c>
      <c r="F18" s="104"/>
      <c r="G18" s="104"/>
    </row>
    <row r="19" spans="1:7" ht="18" x14ac:dyDescent="0.3">
      <c r="A19" s="105" t="s">
        <v>219</v>
      </c>
      <c r="B19" s="22"/>
      <c r="C19" s="107"/>
      <c r="D19" s="107"/>
      <c r="E19" s="144">
        <f t="shared" si="0"/>
        <v>0</v>
      </c>
      <c r="F19" s="104"/>
      <c r="G19" s="104"/>
    </row>
    <row r="20" spans="1:7" ht="18" x14ac:dyDescent="0.3">
      <c r="A20" s="105" t="s">
        <v>220</v>
      </c>
      <c r="B20" s="114"/>
      <c r="C20" s="107"/>
      <c r="D20" s="107"/>
      <c r="E20" s="144">
        <f t="shared" si="0"/>
        <v>0</v>
      </c>
      <c r="F20" s="104"/>
      <c r="G20" s="104"/>
    </row>
    <row r="21" spans="1:7" ht="18" x14ac:dyDescent="0.3">
      <c r="A21" s="105" t="s">
        <v>221</v>
      </c>
      <c r="B21" s="114"/>
      <c r="C21" s="107"/>
      <c r="D21" s="107"/>
      <c r="E21" s="144">
        <f t="shared" si="0"/>
        <v>0</v>
      </c>
      <c r="F21" s="104"/>
      <c r="G21" s="104"/>
    </row>
    <row r="22" spans="1:7" ht="18" x14ac:dyDescent="0.3">
      <c r="A22" s="105" t="s">
        <v>222</v>
      </c>
      <c r="B22" s="114"/>
      <c r="C22" s="107"/>
      <c r="D22" s="107"/>
      <c r="E22" s="144">
        <f t="shared" si="0"/>
        <v>0</v>
      </c>
      <c r="F22" s="104"/>
      <c r="G22" s="104"/>
    </row>
    <row r="23" spans="1:7" ht="18" x14ac:dyDescent="0.3">
      <c r="A23" s="105" t="s">
        <v>223</v>
      </c>
      <c r="B23" s="22"/>
      <c r="C23" s="97"/>
      <c r="D23" s="107"/>
      <c r="E23" s="144">
        <f t="shared" si="0"/>
        <v>0</v>
      </c>
      <c r="F23" s="104"/>
      <c r="G23" s="104"/>
    </row>
    <row r="24" spans="1:7" ht="18" x14ac:dyDescent="0.3">
      <c r="A24" s="105" t="s">
        <v>224</v>
      </c>
      <c r="B24" s="22"/>
      <c r="C24" s="97"/>
      <c r="D24" s="107"/>
      <c r="E24" s="144">
        <f t="shared" si="0"/>
        <v>0</v>
      </c>
      <c r="F24" s="104"/>
      <c r="G24" s="104"/>
    </row>
    <row r="25" spans="1:7" ht="18" x14ac:dyDescent="0.3">
      <c r="A25" s="105" t="s">
        <v>225</v>
      </c>
      <c r="B25" s="114"/>
      <c r="C25" s="107"/>
      <c r="D25" s="107"/>
      <c r="E25" s="144">
        <f t="shared" si="0"/>
        <v>0</v>
      </c>
      <c r="F25" s="104"/>
      <c r="G25" s="104"/>
    </row>
    <row r="26" spans="1:7" ht="18" x14ac:dyDescent="0.3">
      <c r="A26" s="105" t="s">
        <v>226</v>
      </c>
      <c r="B26" s="114"/>
      <c r="C26" s="97"/>
      <c r="D26" s="107"/>
      <c r="E26" s="144">
        <f t="shared" si="0"/>
        <v>0</v>
      </c>
      <c r="F26" s="104"/>
      <c r="G26" s="104"/>
    </row>
    <row r="27" spans="1:7" ht="18" x14ac:dyDescent="0.3">
      <c r="A27" s="105" t="s">
        <v>227</v>
      </c>
      <c r="B27" s="22"/>
      <c r="C27" s="97"/>
      <c r="D27" s="107"/>
      <c r="E27" s="144">
        <f t="shared" si="0"/>
        <v>0</v>
      </c>
      <c r="F27" s="104"/>
      <c r="G27" s="104"/>
    </row>
    <row r="28" spans="1:7" ht="18" x14ac:dyDescent="0.3">
      <c r="A28" s="105" t="s">
        <v>228</v>
      </c>
      <c r="B28" s="22"/>
      <c r="C28" s="97"/>
      <c r="D28" s="107"/>
      <c r="E28" s="144">
        <f t="shared" si="0"/>
        <v>0</v>
      </c>
      <c r="F28" s="104"/>
      <c r="G28" s="104"/>
    </row>
    <row r="29" spans="1:7" ht="18" x14ac:dyDescent="0.3">
      <c r="A29" s="105" t="s">
        <v>229</v>
      </c>
      <c r="B29" s="114"/>
      <c r="C29" s="107"/>
      <c r="D29" s="107"/>
      <c r="E29" s="144">
        <f t="shared" si="0"/>
        <v>0</v>
      </c>
      <c r="F29" s="104"/>
      <c r="G29" s="104"/>
    </row>
    <row r="30" spans="1:7" ht="18" x14ac:dyDescent="0.3">
      <c r="A30" s="105" t="s">
        <v>230</v>
      </c>
      <c r="B30" s="22"/>
      <c r="C30" s="97"/>
      <c r="D30" s="107"/>
      <c r="E30" s="144">
        <f t="shared" si="0"/>
        <v>0</v>
      </c>
      <c r="F30" s="104"/>
      <c r="G30" s="104"/>
    </row>
    <row r="31" spans="1:7" ht="18" x14ac:dyDescent="0.3">
      <c r="A31" s="105" t="s">
        <v>231</v>
      </c>
      <c r="B31" s="114"/>
      <c r="C31" s="107"/>
      <c r="D31" s="107"/>
      <c r="E31" s="144">
        <f t="shared" si="0"/>
        <v>0</v>
      </c>
      <c r="F31" s="104"/>
      <c r="G31" s="104"/>
    </row>
    <row r="32" spans="1:7" ht="18" x14ac:dyDescent="0.3">
      <c r="A32" s="105" t="s">
        <v>232</v>
      </c>
      <c r="B32" s="114"/>
      <c r="C32" s="107"/>
      <c r="D32" s="107"/>
      <c r="E32" s="144">
        <f t="shared" si="0"/>
        <v>0</v>
      </c>
      <c r="F32" s="104"/>
      <c r="G32" s="104"/>
    </row>
    <row r="33" spans="1:7" ht="18" x14ac:dyDescent="0.3">
      <c r="A33" s="105" t="s">
        <v>233</v>
      </c>
      <c r="B33" s="114"/>
      <c r="C33" s="145"/>
      <c r="D33" s="146"/>
      <c r="E33" s="144">
        <f t="shared" si="0"/>
        <v>0</v>
      </c>
      <c r="F33" s="104"/>
      <c r="G33" s="104"/>
    </row>
    <row r="34" spans="1:7" ht="18" x14ac:dyDescent="0.3">
      <c r="A34" s="105" t="s">
        <v>234</v>
      </c>
      <c r="B34" s="114"/>
      <c r="C34" s="107"/>
      <c r="D34" s="107"/>
      <c r="E34" s="144">
        <f t="shared" si="0"/>
        <v>0</v>
      </c>
      <c r="F34" s="104"/>
      <c r="G34" s="104"/>
    </row>
    <row r="35" spans="1:7" ht="18" x14ac:dyDescent="0.3">
      <c r="A35" s="105" t="s">
        <v>235</v>
      </c>
      <c r="B35" s="114"/>
      <c r="C35" s="107"/>
      <c r="D35" s="107"/>
      <c r="E35" s="144">
        <f t="shared" si="0"/>
        <v>0</v>
      </c>
      <c r="F35" s="104"/>
      <c r="G35" s="104"/>
    </row>
    <row r="36" spans="1:7" ht="18" x14ac:dyDescent="0.3">
      <c r="A36" s="105" t="s">
        <v>236</v>
      </c>
      <c r="B36" s="114"/>
      <c r="C36" s="107"/>
      <c r="D36" s="107"/>
      <c r="E36" s="144">
        <f t="shared" si="0"/>
        <v>0</v>
      </c>
      <c r="F36" s="104"/>
      <c r="G36" s="104"/>
    </row>
    <row r="37" spans="1:7" ht="18" x14ac:dyDescent="0.3">
      <c r="A37" s="105" t="s">
        <v>237</v>
      </c>
      <c r="B37" s="22"/>
      <c r="C37" s="97"/>
      <c r="D37" s="107"/>
      <c r="E37" s="144">
        <f t="shared" si="0"/>
        <v>0</v>
      </c>
      <c r="F37" s="104"/>
      <c r="G37" s="104"/>
    </row>
    <row r="38" spans="1:7" ht="18" x14ac:dyDescent="0.3">
      <c r="A38" s="105" t="s">
        <v>238</v>
      </c>
      <c r="B38" s="114"/>
      <c r="C38" s="107"/>
      <c r="D38" s="107"/>
      <c r="E38" s="144">
        <f t="shared" si="0"/>
        <v>0</v>
      </c>
      <c r="F38" s="104"/>
      <c r="G38" s="104"/>
    </row>
    <row r="39" spans="1:7" ht="18" x14ac:dyDescent="0.3">
      <c r="A39" s="105" t="s">
        <v>239</v>
      </c>
      <c r="B39" s="114"/>
      <c r="C39" s="107"/>
      <c r="D39" s="107"/>
      <c r="E39" s="144">
        <f t="shared" si="0"/>
        <v>0</v>
      </c>
      <c r="F39" s="104"/>
      <c r="G39" s="104"/>
    </row>
    <row r="40" spans="1:7" ht="18" x14ac:dyDescent="0.3">
      <c r="A40" s="105" t="s">
        <v>240</v>
      </c>
      <c r="B40" s="114"/>
      <c r="C40" s="107"/>
      <c r="D40" s="107"/>
      <c r="E40" s="144">
        <f t="shared" si="0"/>
        <v>0</v>
      </c>
      <c r="F40" s="104"/>
      <c r="G40" s="104"/>
    </row>
    <row r="41" spans="1:7" ht="18" x14ac:dyDescent="0.3">
      <c r="A41" s="105" t="s">
        <v>241</v>
      </c>
      <c r="B41" s="22"/>
      <c r="C41" s="97"/>
      <c r="D41" s="107"/>
      <c r="E41" s="144">
        <f t="shared" si="0"/>
        <v>0</v>
      </c>
      <c r="F41" s="104"/>
      <c r="G41" s="104"/>
    </row>
    <row r="42" spans="1:7" ht="18" x14ac:dyDescent="0.3">
      <c r="A42" s="105" t="s">
        <v>242</v>
      </c>
      <c r="B42" s="114"/>
      <c r="C42" s="107"/>
      <c r="D42" s="107"/>
      <c r="E42" s="144">
        <f t="shared" si="0"/>
        <v>0</v>
      </c>
      <c r="F42" s="104"/>
      <c r="G42" s="104"/>
    </row>
    <row r="43" spans="1:7" ht="18" x14ac:dyDescent="0.3">
      <c r="A43" s="105" t="s">
        <v>243</v>
      </c>
      <c r="B43" s="114"/>
      <c r="C43" s="107"/>
      <c r="D43" s="107"/>
      <c r="E43" s="144">
        <f t="shared" si="0"/>
        <v>0</v>
      </c>
      <c r="F43" s="104"/>
      <c r="G43" s="104"/>
    </row>
    <row r="44" spans="1:7" ht="18" x14ac:dyDescent="0.3">
      <c r="A44" s="105" t="s">
        <v>244</v>
      </c>
      <c r="B44" s="114"/>
      <c r="C44" s="107"/>
      <c r="D44" s="107"/>
      <c r="E44" s="144">
        <f t="shared" si="0"/>
        <v>0</v>
      </c>
      <c r="F44" s="104"/>
      <c r="G44" s="104"/>
    </row>
    <row r="45" spans="1:7" ht="18" x14ac:dyDescent="0.3">
      <c r="A45" s="105" t="s">
        <v>245</v>
      </c>
      <c r="B45" s="114"/>
      <c r="C45" s="107"/>
      <c r="D45" s="107"/>
      <c r="E45" s="144">
        <f t="shared" si="0"/>
        <v>0</v>
      </c>
      <c r="F45" s="104"/>
      <c r="G45" s="104"/>
    </row>
    <row r="46" spans="1:7" ht="18" x14ac:dyDescent="0.3">
      <c r="A46" s="105" t="s">
        <v>246</v>
      </c>
      <c r="B46" s="114"/>
      <c r="C46" s="107"/>
      <c r="D46" s="107"/>
      <c r="E46" s="144">
        <f t="shared" si="0"/>
        <v>0</v>
      </c>
      <c r="F46" s="104"/>
      <c r="G46" s="104"/>
    </row>
    <row r="47" spans="1:7" ht="18" x14ac:dyDescent="0.3">
      <c r="A47" s="105" t="s">
        <v>247</v>
      </c>
      <c r="B47" s="114"/>
      <c r="C47" s="107"/>
      <c r="D47" s="107"/>
      <c r="E47" s="144">
        <f t="shared" si="0"/>
        <v>0</v>
      </c>
      <c r="F47" s="104"/>
      <c r="G47" s="104"/>
    </row>
    <row r="48" spans="1:7" ht="18" x14ac:dyDescent="0.3">
      <c r="A48" s="105" t="s">
        <v>248</v>
      </c>
      <c r="B48" s="114"/>
      <c r="C48" s="107"/>
      <c r="D48" s="107"/>
      <c r="E48" s="144">
        <f t="shared" si="0"/>
        <v>0</v>
      </c>
      <c r="F48" s="104"/>
      <c r="G48" s="104"/>
    </row>
    <row r="49" spans="1:7" ht="18" x14ac:dyDescent="0.3">
      <c r="A49" s="105" t="s">
        <v>249</v>
      </c>
      <c r="B49" s="114"/>
      <c r="C49" s="107"/>
      <c r="D49" s="107"/>
      <c r="E49" s="144">
        <f t="shared" si="0"/>
        <v>0</v>
      </c>
      <c r="F49" s="104"/>
      <c r="G49" s="104"/>
    </row>
    <row r="50" spans="1:7" ht="18" x14ac:dyDescent="0.3">
      <c r="A50" s="105" t="s">
        <v>250</v>
      </c>
      <c r="B50" s="114"/>
      <c r="C50" s="107"/>
      <c r="D50" s="107"/>
      <c r="E50" s="144">
        <f t="shared" si="0"/>
        <v>0</v>
      </c>
      <c r="F50" s="104"/>
      <c r="G50" s="104"/>
    </row>
    <row r="51" spans="1:7" ht="18" x14ac:dyDescent="0.3">
      <c r="A51" s="105" t="s">
        <v>251</v>
      </c>
      <c r="B51" s="114"/>
      <c r="C51" s="107"/>
      <c r="D51" s="107"/>
      <c r="E51" s="144">
        <f t="shared" si="0"/>
        <v>0</v>
      </c>
      <c r="F51" s="104"/>
      <c r="G51" s="104"/>
    </row>
    <row r="52" spans="1:7" ht="18" x14ac:dyDescent="0.3">
      <c r="A52" s="105" t="s">
        <v>252</v>
      </c>
      <c r="B52" s="114"/>
      <c r="C52" s="97"/>
      <c r="D52" s="107"/>
      <c r="E52" s="144">
        <f t="shared" si="0"/>
        <v>0</v>
      </c>
      <c r="F52" s="147"/>
      <c r="G52" s="147"/>
    </row>
    <row r="53" spans="1:7" ht="18" x14ac:dyDescent="0.3">
      <c r="A53" s="105" t="s">
        <v>253</v>
      </c>
      <c r="B53" s="114"/>
      <c r="C53" s="107"/>
      <c r="D53" s="107"/>
      <c r="E53" s="144">
        <f t="shared" si="0"/>
        <v>0</v>
      </c>
      <c r="F53" s="104"/>
      <c r="G53" s="104"/>
    </row>
    <row r="54" spans="1:7" ht="18" x14ac:dyDescent="0.3">
      <c r="A54" s="105" t="s">
        <v>254</v>
      </c>
      <c r="B54" s="22"/>
      <c r="C54" s="97"/>
      <c r="D54" s="107"/>
      <c r="E54" s="144">
        <f t="shared" si="0"/>
        <v>0</v>
      </c>
      <c r="F54" s="104"/>
      <c r="G54" s="104"/>
    </row>
    <row r="55" spans="1:7" ht="18" x14ac:dyDescent="0.3">
      <c r="A55" s="105" t="s">
        <v>255</v>
      </c>
      <c r="B55" s="114"/>
      <c r="C55" s="107"/>
      <c r="D55" s="107"/>
      <c r="E55" s="144">
        <f t="shared" si="0"/>
        <v>0</v>
      </c>
      <c r="F55" s="104"/>
      <c r="G55" s="104"/>
    </row>
    <row r="56" spans="1:7" ht="18" x14ac:dyDescent="0.3">
      <c r="A56" s="105" t="s">
        <v>256</v>
      </c>
      <c r="B56" s="114"/>
      <c r="C56" s="107"/>
      <c r="D56" s="107"/>
      <c r="E56" s="144">
        <f t="shared" si="0"/>
        <v>0</v>
      </c>
      <c r="F56" s="104"/>
      <c r="G56" s="104"/>
    </row>
    <row r="57" spans="1:7" ht="18" x14ac:dyDescent="0.3">
      <c r="A57" s="105" t="s">
        <v>257</v>
      </c>
      <c r="B57" s="22"/>
      <c r="C57" s="97"/>
      <c r="D57" s="107"/>
      <c r="E57" s="144">
        <f t="shared" si="0"/>
        <v>0</v>
      </c>
      <c r="F57" s="104"/>
      <c r="G57" s="104"/>
    </row>
    <row r="58" spans="1:7" ht="18" x14ac:dyDescent="0.3">
      <c r="A58" s="105" t="s">
        <v>258</v>
      </c>
      <c r="B58" s="22"/>
      <c r="C58" s="97"/>
      <c r="D58" s="107"/>
      <c r="E58" s="144">
        <f t="shared" si="0"/>
        <v>0</v>
      </c>
      <c r="F58" s="104"/>
      <c r="G58" s="104"/>
    </row>
    <row r="59" spans="1:7" ht="18" x14ac:dyDescent="0.3">
      <c r="A59" s="105" t="s">
        <v>259</v>
      </c>
      <c r="B59" s="114"/>
      <c r="C59" s="107"/>
      <c r="D59" s="107"/>
      <c r="E59" s="144">
        <f t="shared" si="0"/>
        <v>0</v>
      </c>
      <c r="F59" s="104"/>
      <c r="G59" s="104"/>
    </row>
    <row r="60" spans="1:7" ht="18" x14ac:dyDescent="0.3">
      <c r="A60" s="105" t="s">
        <v>260</v>
      </c>
      <c r="B60" s="114"/>
      <c r="C60" s="146"/>
      <c r="D60" s="146"/>
      <c r="E60" s="144">
        <f t="shared" si="0"/>
        <v>0</v>
      </c>
      <c r="F60" s="104"/>
      <c r="G60" s="104"/>
    </row>
    <row r="61" spans="1:7" ht="18" x14ac:dyDescent="0.3">
      <c r="A61" s="105" t="s">
        <v>261</v>
      </c>
      <c r="B61" s="22"/>
      <c r="C61" s="97"/>
      <c r="D61" s="107"/>
      <c r="E61" s="144">
        <f t="shared" si="0"/>
        <v>0</v>
      </c>
      <c r="F61" s="104"/>
      <c r="G61" s="104"/>
    </row>
    <row r="62" spans="1:7" ht="18" x14ac:dyDescent="0.3">
      <c r="A62" s="105" t="s">
        <v>262</v>
      </c>
      <c r="B62" s="114"/>
      <c r="C62" s="107"/>
      <c r="D62" s="107"/>
      <c r="E62" s="144">
        <f t="shared" si="0"/>
        <v>0</v>
      </c>
      <c r="F62" s="104"/>
      <c r="G62" s="104"/>
    </row>
    <row r="63" spans="1:7" ht="18" x14ac:dyDescent="0.3">
      <c r="A63" s="105" t="s">
        <v>263</v>
      </c>
      <c r="B63" s="21"/>
      <c r="C63" s="22"/>
      <c r="D63" s="22"/>
      <c r="E63" s="144">
        <f t="shared" si="0"/>
        <v>0</v>
      </c>
      <c r="F63" s="104"/>
      <c r="G63" s="104"/>
    </row>
    <row r="64" spans="1:7" ht="18" x14ac:dyDescent="0.3">
      <c r="A64" s="105" t="s">
        <v>264</v>
      </c>
      <c r="B64" s="114"/>
      <c r="C64" s="107"/>
      <c r="D64" s="107"/>
      <c r="E64" s="144">
        <f t="shared" si="0"/>
        <v>0</v>
      </c>
      <c r="F64" s="104"/>
      <c r="G64" s="104"/>
    </row>
    <row r="65" spans="1:7" ht="18" x14ac:dyDescent="0.3">
      <c r="A65" s="105" t="s">
        <v>265</v>
      </c>
      <c r="B65" s="22"/>
      <c r="C65" s="97"/>
      <c r="D65" s="107"/>
      <c r="E65" s="144">
        <f t="shared" si="0"/>
        <v>0</v>
      </c>
      <c r="F65" s="104"/>
      <c r="G65" s="104"/>
    </row>
    <row r="66" spans="1:7" ht="18" x14ac:dyDescent="0.3">
      <c r="A66" s="105" t="s">
        <v>266</v>
      </c>
      <c r="B66" s="114"/>
      <c r="C66" s="107"/>
      <c r="D66" s="107"/>
      <c r="E66" s="144">
        <f t="shared" si="0"/>
        <v>0</v>
      </c>
      <c r="F66" s="104"/>
      <c r="G66" s="104"/>
    </row>
    <row r="67" spans="1:7" ht="18" x14ac:dyDescent="0.3">
      <c r="A67" s="105" t="s">
        <v>267</v>
      </c>
      <c r="B67" s="114"/>
      <c r="C67" s="107"/>
      <c r="D67" s="107"/>
      <c r="E67" s="144">
        <f t="shared" si="0"/>
        <v>0</v>
      </c>
      <c r="F67" s="104"/>
      <c r="G67" s="104"/>
    </row>
    <row r="68" spans="1:7" ht="18" x14ac:dyDescent="0.3">
      <c r="A68" s="105" t="s">
        <v>268</v>
      </c>
      <c r="B68" s="22"/>
      <c r="C68" s="107"/>
      <c r="D68" s="107"/>
      <c r="E68" s="144">
        <f t="shared" si="0"/>
        <v>0</v>
      </c>
      <c r="F68" s="104"/>
      <c r="G68" s="104"/>
    </row>
    <row r="69" spans="1:7" ht="18" x14ac:dyDescent="0.3">
      <c r="A69" s="105" t="s">
        <v>269</v>
      </c>
      <c r="B69" s="114"/>
      <c r="C69" s="97"/>
      <c r="D69" s="107"/>
      <c r="E69" s="144">
        <f t="shared" si="0"/>
        <v>0</v>
      </c>
      <c r="F69" s="104"/>
      <c r="G69" s="104"/>
    </row>
    <row r="70" spans="1:7" ht="18" x14ac:dyDescent="0.3">
      <c r="A70" s="105" t="s">
        <v>270</v>
      </c>
      <c r="B70" s="114"/>
      <c r="C70" s="107"/>
      <c r="D70" s="107"/>
      <c r="E70" s="144">
        <f t="shared" si="0"/>
        <v>0</v>
      </c>
      <c r="F70" s="104"/>
      <c r="G70" s="104"/>
    </row>
    <row r="71" spans="1:7" ht="18" x14ac:dyDescent="0.3">
      <c r="A71" s="105" t="s">
        <v>271</v>
      </c>
      <c r="B71" s="22"/>
      <c r="C71" s="107"/>
      <c r="D71" s="131"/>
      <c r="E71" s="144">
        <f t="shared" si="0"/>
        <v>0</v>
      </c>
      <c r="F71" s="104"/>
      <c r="G71" s="104"/>
    </row>
    <row r="72" spans="1:7" ht="18" x14ac:dyDescent="0.3">
      <c r="A72" s="105" t="s">
        <v>272</v>
      </c>
      <c r="B72" s="114"/>
      <c r="C72" s="107"/>
      <c r="D72" s="107"/>
      <c r="E72" s="144">
        <f t="shared" si="0"/>
        <v>0</v>
      </c>
      <c r="F72" s="104"/>
      <c r="G72" s="104"/>
    </row>
    <row r="73" spans="1:7" ht="18" x14ac:dyDescent="0.3">
      <c r="A73" s="105" t="s">
        <v>273</v>
      </c>
      <c r="B73" s="114"/>
      <c r="C73" s="107"/>
      <c r="D73" s="107"/>
      <c r="E73" s="144">
        <f t="shared" si="0"/>
        <v>0</v>
      </c>
      <c r="F73" s="104"/>
      <c r="G73" s="104"/>
    </row>
    <row r="74" spans="1:7" ht="18" x14ac:dyDescent="0.3">
      <c r="A74" s="105" t="s">
        <v>274</v>
      </c>
      <c r="B74" s="114"/>
      <c r="C74" s="107"/>
      <c r="D74" s="107"/>
      <c r="E74" s="144">
        <f t="shared" si="0"/>
        <v>0</v>
      </c>
      <c r="F74" s="104"/>
      <c r="G74" s="104"/>
    </row>
    <row r="75" spans="1:7" ht="18" x14ac:dyDescent="0.3">
      <c r="A75" s="105" t="s">
        <v>275</v>
      </c>
      <c r="B75" s="114"/>
      <c r="C75" s="107"/>
      <c r="D75" s="107"/>
      <c r="E75" s="144">
        <f t="shared" ref="E75:E118" si="1">+(D75*2+C75)/3</f>
        <v>0</v>
      </c>
      <c r="F75" s="104"/>
      <c r="G75" s="104"/>
    </row>
    <row r="76" spans="1:7" ht="18" x14ac:dyDescent="0.3">
      <c r="A76" s="105" t="s">
        <v>276</v>
      </c>
      <c r="B76" s="114"/>
      <c r="C76" s="107"/>
      <c r="D76" s="107"/>
      <c r="E76" s="144">
        <f t="shared" si="1"/>
        <v>0</v>
      </c>
      <c r="F76" s="104"/>
      <c r="G76" s="104"/>
    </row>
    <row r="77" spans="1:7" ht="18" x14ac:dyDescent="0.3">
      <c r="A77" s="105" t="s">
        <v>277</v>
      </c>
      <c r="B77" s="114"/>
      <c r="C77" s="107"/>
      <c r="D77" s="107"/>
      <c r="E77" s="144">
        <f t="shared" si="1"/>
        <v>0</v>
      </c>
      <c r="F77" s="104"/>
      <c r="G77" s="104"/>
    </row>
    <row r="78" spans="1:7" ht="18" x14ac:dyDescent="0.3">
      <c r="A78" s="105" t="s">
        <v>278</v>
      </c>
      <c r="B78" s="114"/>
      <c r="C78" s="107"/>
      <c r="D78" s="107"/>
      <c r="E78" s="144">
        <f t="shared" si="1"/>
        <v>0</v>
      </c>
      <c r="F78" s="104"/>
      <c r="G78" s="104"/>
    </row>
    <row r="79" spans="1:7" ht="18" x14ac:dyDescent="0.3">
      <c r="A79" s="105" t="s">
        <v>279</v>
      </c>
      <c r="B79" s="114"/>
      <c r="C79" s="107"/>
      <c r="D79" s="107"/>
      <c r="E79" s="144">
        <f t="shared" si="1"/>
        <v>0</v>
      </c>
      <c r="F79" s="104"/>
      <c r="G79" s="104"/>
    </row>
    <row r="80" spans="1:7" ht="18" x14ac:dyDescent="0.3">
      <c r="A80" s="105" t="s">
        <v>280</v>
      </c>
      <c r="B80" s="114"/>
      <c r="C80" s="145"/>
      <c r="D80" s="146"/>
      <c r="E80" s="144">
        <f t="shared" si="1"/>
        <v>0</v>
      </c>
      <c r="F80" s="104"/>
      <c r="G80" s="104"/>
    </row>
    <row r="81" spans="1:7" ht="18" x14ac:dyDescent="0.3">
      <c r="A81" s="105" t="s">
        <v>281</v>
      </c>
      <c r="B81" s="114"/>
      <c r="C81" s="97"/>
      <c r="D81" s="107"/>
      <c r="E81" s="144">
        <f t="shared" si="1"/>
        <v>0</v>
      </c>
      <c r="F81" s="104"/>
      <c r="G81" s="104"/>
    </row>
    <row r="82" spans="1:7" ht="18" x14ac:dyDescent="0.3">
      <c r="A82" s="105" t="s">
        <v>282</v>
      </c>
      <c r="B82" s="114"/>
      <c r="C82" s="107"/>
      <c r="D82" s="107"/>
      <c r="E82" s="144">
        <f t="shared" si="1"/>
        <v>0</v>
      </c>
      <c r="F82" s="104"/>
      <c r="G82" s="104"/>
    </row>
    <row r="83" spans="1:7" ht="18" x14ac:dyDescent="0.3">
      <c r="A83" s="105" t="s">
        <v>283</v>
      </c>
      <c r="B83" s="22"/>
      <c r="C83" s="97"/>
      <c r="D83" s="107"/>
      <c r="E83" s="144">
        <f t="shared" si="1"/>
        <v>0</v>
      </c>
      <c r="F83" s="104"/>
      <c r="G83" s="104"/>
    </row>
    <row r="84" spans="1:7" ht="18" x14ac:dyDescent="0.3">
      <c r="A84" s="105" t="s">
        <v>284</v>
      </c>
      <c r="B84" s="22"/>
      <c r="C84" s="97"/>
      <c r="D84" s="107"/>
      <c r="E84" s="144">
        <f t="shared" si="1"/>
        <v>0</v>
      </c>
      <c r="F84" s="104"/>
      <c r="G84" s="104"/>
    </row>
    <row r="85" spans="1:7" ht="18" x14ac:dyDescent="0.3">
      <c r="A85" s="105" t="s">
        <v>285</v>
      </c>
      <c r="B85" s="114"/>
      <c r="C85" s="107"/>
      <c r="D85" s="107"/>
      <c r="E85" s="144">
        <f t="shared" si="1"/>
        <v>0</v>
      </c>
      <c r="F85" s="104"/>
      <c r="G85" s="104"/>
    </row>
    <row r="86" spans="1:7" ht="18" x14ac:dyDescent="0.3">
      <c r="A86" s="105" t="s">
        <v>286</v>
      </c>
      <c r="B86" s="114"/>
      <c r="C86" s="107"/>
      <c r="D86" s="107"/>
      <c r="E86" s="144">
        <f t="shared" si="1"/>
        <v>0</v>
      </c>
      <c r="F86" s="104"/>
      <c r="G86" s="104"/>
    </row>
    <row r="87" spans="1:7" ht="18" x14ac:dyDescent="0.3">
      <c r="A87" s="105" t="s">
        <v>287</v>
      </c>
      <c r="B87" s="114"/>
      <c r="C87" s="132"/>
      <c r="D87" s="107"/>
      <c r="E87" s="144">
        <f t="shared" si="1"/>
        <v>0</v>
      </c>
      <c r="F87" s="104"/>
      <c r="G87" s="104"/>
    </row>
    <row r="88" spans="1:7" ht="18" x14ac:dyDescent="0.3">
      <c r="A88" s="105" t="s">
        <v>288</v>
      </c>
      <c r="B88" s="114"/>
      <c r="C88" s="131"/>
      <c r="D88" s="107"/>
      <c r="E88" s="144">
        <f t="shared" si="1"/>
        <v>0</v>
      </c>
      <c r="F88" s="104"/>
      <c r="G88" s="104"/>
    </row>
    <row r="89" spans="1:7" ht="18" x14ac:dyDescent="0.3">
      <c r="A89" s="105" t="s">
        <v>289</v>
      </c>
      <c r="B89" s="114"/>
      <c r="C89" s="107"/>
      <c r="D89" s="107"/>
      <c r="E89" s="144">
        <f t="shared" si="1"/>
        <v>0</v>
      </c>
      <c r="F89" s="104"/>
      <c r="G89" s="104"/>
    </row>
    <row r="90" spans="1:7" ht="18" x14ac:dyDescent="0.3">
      <c r="A90" s="105" t="s">
        <v>290</v>
      </c>
      <c r="B90" s="114"/>
      <c r="C90" s="146"/>
      <c r="D90" s="146"/>
      <c r="E90" s="144">
        <f t="shared" si="1"/>
        <v>0</v>
      </c>
      <c r="F90" s="104"/>
      <c r="G90" s="104"/>
    </row>
    <row r="91" spans="1:7" ht="18" x14ac:dyDescent="0.3">
      <c r="A91" s="105" t="s">
        <v>291</v>
      </c>
      <c r="B91" s="22"/>
      <c r="C91" s="132"/>
      <c r="D91" s="107"/>
      <c r="E91" s="144">
        <f t="shared" si="1"/>
        <v>0</v>
      </c>
      <c r="F91" s="104"/>
      <c r="G91" s="104"/>
    </row>
    <row r="92" spans="1:7" ht="18" x14ac:dyDescent="0.3">
      <c r="A92" s="105" t="s">
        <v>292</v>
      </c>
      <c r="B92" s="114"/>
      <c r="C92" s="107"/>
      <c r="D92" s="107"/>
      <c r="E92" s="144">
        <f t="shared" si="1"/>
        <v>0</v>
      </c>
      <c r="F92" s="104"/>
      <c r="G92" s="104"/>
    </row>
    <row r="93" spans="1:7" ht="18" x14ac:dyDescent="0.3">
      <c r="A93" s="105" t="s">
        <v>293</v>
      </c>
      <c r="B93" s="22"/>
      <c r="C93" s="97"/>
      <c r="D93" s="107"/>
      <c r="E93" s="144">
        <f t="shared" si="1"/>
        <v>0</v>
      </c>
      <c r="F93" s="104"/>
      <c r="G93" s="104"/>
    </row>
    <row r="94" spans="1:7" ht="18" x14ac:dyDescent="0.3">
      <c r="A94" s="105" t="s">
        <v>294</v>
      </c>
      <c r="B94" s="114"/>
      <c r="C94" s="131"/>
      <c r="D94" s="131"/>
      <c r="E94" s="144">
        <f t="shared" si="1"/>
        <v>0</v>
      </c>
      <c r="F94" s="104"/>
      <c r="G94" s="104"/>
    </row>
    <row r="95" spans="1:7" ht="18" x14ac:dyDescent="0.3">
      <c r="A95" s="105" t="s">
        <v>295</v>
      </c>
      <c r="B95" s="114"/>
      <c r="C95" s="97"/>
      <c r="D95" s="107"/>
      <c r="E95" s="144">
        <f t="shared" si="1"/>
        <v>0</v>
      </c>
      <c r="F95" s="104"/>
      <c r="G95" s="104"/>
    </row>
    <row r="96" spans="1:7" ht="18" x14ac:dyDescent="0.3">
      <c r="A96" s="105" t="s">
        <v>296</v>
      </c>
      <c r="B96" s="114"/>
      <c r="C96" s="107"/>
      <c r="D96" s="107"/>
      <c r="E96" s="144">
        <f t="shared" si="1"/>
        <v>0</v>
      </c>
      <c r="F96" s="104"/>
      <c r="G96" s="104"/>
    </row>
    <row r="97" spans="1:7" ht="18" x14ac:dyDescent="0.3">
      <c r="A97" s="105" t="s">
        <v>297</v>
      </c>
      <c r="B97" s="114"/>
      <c r="C97" s="107"/>
      <c r="D97" s="107"/>
      <c r="E97" s="144">
        <f t="shared" si="1"/>
        <v>0</v>
      </c>
      <c r="F97" s="104"/>
      <c r="G97" s="104"/>
    </row>
    <row r="98" spans="1:7" ht="18" x14ac:dyDescent="0.3">
      <c r="A98" s="105" t="s">
        <v>298</v>
      </c>
      <c r="B98" s="114"/>
      <c r="C98" s="107"/>
      <c r="D98" s="107"/>
      <c r="E98" s="144">
        <f t="shared" si="1"/>
        <v>0</v>
      </c>
      <c r="F98" s="104"/>
      <c r="G98" s="104"/>
    </row>
    <row r="99" spans="1:7" ht="18" x14ac:dyDescent="0.3">
      <c r="A99" s="105" t="s">
        <v>299</v>
      </c>
      <c r="B99" s="22"/>
      <c r="C99" s="97"/>
      <c r="D99" s="131"/>
      <c r="E99" s="144">
        <f t="shared" si="1"/>
        <v>0</v>
      </c>
      <c r="F99" s="104"/>
      <c r="G99" s="104"/>
    </row>
    <row r="100" spans="1:7" ht="18" x14ac:dyDescent="0.3">
      <c r="A100" s="105" t="s">
        <v>300</v>
      </c>
      <c r="B100" s="114"/>
      <c r="C100" s="107"/>
      <c r="D100" s="107"/>
      <c r="E100" s="144">
        <f t="shared" si="1"/>
        <v>0</v>
      </c>
      <c r="F100" s="104"/>
      <c r="G100" s="104"/>
    </row>
    <row r="101" spans="1:7" ht="18" x14ac:dyDescent="0.3">
      <c r="A101" s="105" t="s">
        <v>301</v>
      </c>
      <c r="B101" s="114"/>
      <c r="C101" s="107"/>
      <c r="D101" s="107"/>
      <c r="E101" s="144">
        <f t="shared" si="1"/>
        <v>0</v>
      </c>
      <c r="F101" s="104"/>
      <c r="G101" s="104"/>
    </row>
    <row r="102" spans="1:7" ht="18" x14ac:dyDescent="0.3">
      <c r="A102" s="105" t="s">
        <v>302</v>
      </c>
      <c r="B102" s="114"/>
      <c r="C102" s="107"/>
      <c r="D102" s="107"/>
      <c r="E102" s="144">
        <f t="shared" si="1"/>
        <v>0</v>
      </c>
      <c r="F102" s="104"/>
      <c r="G102" s="104"/>
    </row>
    <row r="103" spans="1:7" ht="18" x14ac:dyDescent="0.3">
      <c r="A103" s="105" t="s">
        <v>303</v>
      </c>
      <c r="B103" s="114"/>
      <c r="C103" s="97"/>
      <c r="D103" s="107"/>
      <c r="E103" s="144">
        <f t="shared" si="1"/>
        <v>0</v>
      </c>
      <c r="F103" s="104"/>
      <c r="G103" s="104"/>
    </row>
    <row r="104" spans="1:7" ht="18" x14ac:dyDescent="0.3">
      <c r="A104" s="105" t="s">
        <v>304</v>
      </c>
      <c r="B104" s="22"/>
      <c r="C104" s="97"/>
      <c r="D104" s="107"/>
      <c r="E104" s="144">
        <f t="shared" si="1"/>
        <v>0</v>
      </c>
      <c r="F104" s="104"/>
      <c r="G104" s="104"/>
    </row>
    <row r="105" spans="1:7" ht="18" x14ac:dyDescent="0.3">
      <c r="A105" s="105" t="s">
        <v>305</v>
      </c>
      <c r="B105" s="22"/>
      <c r="C105" s="107"/>
      <c r="D105" s="107"/>
      <c r="E105" s="144">
        <f t="shared" si="1"/>
        <v>0</v>
      </c>
      <c r="F105" s="104"/>
      <c r="G105" s="104"/>
    </row>
    <row r="106" spans="1:7" ht="18" x14ac:dyDescent="0.3">
      <c r="A106" s="105" t="s">
        <v>306</v>
      </c>
      <c r="B106" s="114"/>
      <c r="C106" s="107"/>
      <c r="D106" s="107"/>
      <c r="E106" s="144">
        <f t="shared" si="1"/>
        <v>0</v>
      </c>
      <c r="F106" s="104"/>
      <c r="G106" s="104"/>
    </row>
    <row r="107" spans="1:7" ht="18" x14ac:dyDescent="0.3">
      <c r="A107" s="105" t="s">
        <v>307</v>
      </c>
      <c r="B107" s="114"/>
      <c r="C107" s="107"/>
      <c r="D107" s="107"/>
      <c r="E107" s="144">
        <f t="shared" si="1"/>
        <v>0</v>
      </c>
      <c r="F107" s="104"/>
      <c r="G107" s="104"/>
    </row>
    <row r="108" spans="1:7" ht="18" x14ac:dyDescent="0.3">
      <c r="A108" s="105" t="s">
        <v>308</v>
      </c>
      <c r="B108" s="114"/>
      <c r="C108" s="107"/>
      <c r="D108" s="107"/>
      <c r="E108" s="144">
        <f t="shared" si="1"/>
        <v>0</v>
      </c>
      <c r="F108" s="104"/>
      <c r="G108" s="104"/>
    </row>
    <row r="109" spans="1:7" ht="18" x14ac:dyDescent="0.3">
      <c r="A109" s="105" t="s">
        <v>309</v>
      </c>
      <c r="B109" s="114"/>
      <c r="C109" s="107"/>
      <c r="D109" s="107"/>
      <c r="E109" s="144">
        <f t="shared" si="1"/>
        <v>0</v>
      </c>
      <c r="F109" s="104"/>
      <c r="G109" s="104"/>
    </row>
    <row r="110" spans="1:7" ht="18" x14ac:dyDescent="0.3">
      <c r="A110" s="105" t="s">
        <v>386</v>
      </c>
      <c r="B110" s="114"/>
      <c r="C110" s="107"/>
      <c r="D110" s="107"/>
      <c r="E110" s="144">
        <f t="shared" si="1"/>
        <v>0</v>
      </c>
      <c r="F110" s="104"/>
      <c r="G110" s="104"/>
    </row>
    <row r="111" spans="1:7" ht="18" x14ac:dyDescent="0.3">
      <c r="A111" s="105" t="s">
        <v>387</v>
      </c>
      <c r="B111" s="114"/>
      <c r="C111" s="107"/>
      <c r="D111" s="107"/>
      <c r="E111" s="144">
        <f t="shared" si="1"/>
        <v>0</v>
      </c>
      <c r="F111" s="104"/>
      <c r="G111" s="104"/>
    </row>
    <row r="112" spans="1:7" ht="18" x14ac:dyDescent="0.3">
      <c r="A112" s="105" t="s">
        <v>412</v>
      </c>
      <c r="B112" s="114"/>
      <c r="C112" s="97"/>
      <c r="D112" s="107"/>
      <c r="E112" s="144">
        <f t="shared" si="1"/>
        <v>0</v>
      </c>
      <c r="F112" s="104"/>
      <c r="G112" s="104"/>
    </row>
    <row r="113" spans="1:7" ht="18" x14ac:dyDescent="0.3">
      <c r="A113" s="105" t="s">
        <v>432</v>
      </c>
      <c r="B113" s="114"/>
      <c r="C113" s="107"/>
      <c r="D113" s="107"/>
      <c r="E113" s="144">
        <f t="shared" si="1"/>
        <v>0</v>
      </c>
      <c r="F113" s="147"/>
      <c r="G113" s="147"/>
    </row>
    <row r="114" spans="1:7" ht="18" x14ac:dyDescent="0.3">
      <c r="A114" s="105" t="s">
        <v>433</v>
      </c>
      <c r="B114" s="114"/>
      <c r="C114" s="107"/>
      <c r="D114" s="107"/>
      <c r="E114" s="144">
        <f t="shared" si="1"/>
        <v>0</v>
      </c>
      <c r="F114" s="147"/>
      <c r="G114" s="147"/>
    </row>
    <row r="115" spans="1:7" ht="18" x14ac:dyDescent="0.3">
      <c r="A115" s="105" t="s">
        <v>434</v>
      </c>
      <c r="B115" s="114"/>
      <c r="C115" s="107"/>
      <c r="D115" s="107"/>
      <c r="E115" s="144">
        <f t="shared" si="1"/>
        <v>0</v>
      </c>
      <c r="F115" s="147"/>
      <c r="G115" s="147"/>
    </row>
    <row r="116" spans="1:7" ht="18" x14ac:dyDescent="0.3">
      <c r="A116" s="105" t="s">
        <v>435</v>
      </c>
      <c r="B116" s="114"/>
      <c r="C116" s="107"/>
      <c r="D116" s="107"/>
      <c r="E116" s="144">
        <f t="shared" si="1"/>
        <v>0</v>
      </c>
      <c r="F116" s="104"/>
      <c r="G116" s="104"/>
    </row>
    <row r="117" spans="1:7" ht="18" x14ac:dyDescent="0.3">
      <c r="A117" s="105" t="s">
        <v>436</v>
      </c>
      <c r="B117" s="114"/>
      <c r="C117" s="107"/>
      <c r="D117" s="107"/>
      <c r="E117" s="144">
        <f t="shared" si="1"/>
        <v>0</v>
      </c>
      <c r="F117" s="104"/>
      <c r="G117" s="104"/>
    </row>
    <row r="118" spans="1:7" ht="18" x14ac:dyDescent="0.3">
      <c r="A118" s="105" t="s">
        <v>437</v>
      </c>
      <c r="B118" s="114"/>
      <c r="C118" s="107"/>
      <c r="D118" s="107"/>
      <c r="E118" s="144">
        <f t="shared" si="1"/>
        <v>0</v>
      </c>
      <c r="F118" s="104"/>
      <c r="G118" s="104"/>
    </row>
    <row r="119" spans="1:7" ht="18" x14ac:dyDescent="0.3">
      <c r="A119" s="105" t="s">
        <v>438</v>
      </c>
      <c r="B119" s="114"/>
      <c r="C119" s="107"/>
      <c r="D119" s="107"/>
      <c r="E119" s="105"/>
      <c r="F119" s="104"/>
      <c r="G119" s="104"/>
    </row>
    <row r="120" spans="1:7" ht="16.5" x14ac:dyDescent="0.3">
      <c r="A120" s="148"/>
      <c r="B120" s="149"/>
      <c r="C120" s="150"/>
      <c r="D120" s="150"/>
      <c r="E120" s="150"/>
      <c r="F120" s="104"/>
      <c r="G120" s="104"/>
    </row>
    <row r="121" spans="1:7" ht="16.5" x14ac:dyDescent="0.3">
      <c r="A121" s="109"/>
      <c r="B121" s="299" t="s">
        <v>392</v>
      </c>
      <c r="C121" s="299"/>
      <c r="D121" s="299"/>
      <c r="E121" s="299"/>
      <c r="F121" s="104"/>
      <c r="G121" s="104"/>
    </row>
    <row r="122" spans="1:7" ht="16.5" x14ac:dyDescent="0.3">
      <c r="A122" s="109"/>
      <c r="B122" s="109"/>
      <c r="C122" s="109"/>
      <c r="D122" s="109"/>
      <c r="E122" s="109"/>
      <c r="F122" s="104"/>
      <c r="G122" s="104"/>
    </row>
    <row r="123" spans="1:7" ht="16.5" x14ac:dyDescent="0.3">
      <c r="A123" s="109"/>
      <c r="B123" s="109"/>
      <c r="C123" s="105" t="s">
        <v>393</v>
      </c>
      <c r="D123" s="105" t="s">
        <v>394</v>
      </c>
      <c r="E123" s="105" t="s">
        <v>395</v>
      </c>
      <c r="F123" s="104"/>
      <c r="G123" s="104"/>
    </row>
    <row r="124" spans="1:7" ht="16.5" x14ac:dyDescent="0.3">
      <c r="A124" s="109"/>
      <c r="B124" s="106" t="s">
        <v>396</v>
      </c>
      <c r="C124" s="107">
        <v>59</v>
      </c>
      <c r="D124" s="107">
        <v>49</v>
      </c>
      <c r="E124" s="107">
        <f>SUM(C124:D124)</f>
        <v>108</v>
      </c>
      <c r="F124" s="104"/>
      <c r="G124" s="104"/>
    </row>
    <row r="125" spans="1:7" ht="16.5" x14ac:dyDescent="0.3">
      <c r="A125" s="109"/>
      <c r="B125" s="105" t="s">
        <v>397</v>
      </c>
      <c r="C125" s="107">
        <v>54</v>
      </c>
      <c r="D125" s="107">
        <v>43</v>
      </c>
      <c r="E125" s="107">
        <f>SUM(C125:D125)</f>
        <v>97</v>
      </c>
      <c r="F125" s="104"/>
      <c r="G125" s="104"/>
    </row>
    <row r="126" spans="1:7" ht="16.5" x14ac:dyDescent="0.3">
      <c r="A126" s="109"/>
      <c r="B126" s="105" t="s">
        <v>398</v>
      </c>
      <c r="C126" s="107">
        <v>5</v>
      </c>
      <c r="D126" s="107">
        <v>6</v>
      </c>
      <c r="E126" s="107">
        <f>SUM(C126:D126)</f>
        <v>11</v>
      </c>
      <c r="F126" s="104"/>
      <c r="G126" s="104"/>
    </row>
    <row r="127" spans="1:7" ht="16.5" x14ac:dyDescent="0.3">
      <c r="A127" s="109"/>
      <c r="B127" s="105" t="s">
        <v>399</v>
      </c>
      <c r="C127" s="107">
        <v>3</v>
      </c>
      <c r="D127" s="107">
        <v>5</v>
      </c>
      <c r="E127" s="107">
        <f>SUM(C127:D127)</f>
        <v>8</v>
      </c>
      <c r="F127" s="104"/>
      <c r="G127" s="104"/>
    </row>
    <row r="128" spans="1:7" ht="16.5" x14ac:dyDescent="0.3">
      <c r="A128" s="109"/>
      <c r="B128" s="105" t="s">
        <v>400</v>
      </c>
      <c r="C128" s="107">
        <v>56</v>
      </c>
      <c r="D128" s="107">
        <v>44</v>
      </c>
      <c r="E128" s="107">
        <f>SUM(C128:D128)</f>
        <v>100</v>
      </c>
      <c r="F128" s="104"/>
      <c r="G128" s="104"/>
    </row>
    <row r="129" spans="1:7" ht="16.5" x14ac:dyDescent="0.3">
      <c r="A129" s="109"/>
      <c r="B129" s="105" t="s">
        <v>401</v>
      </c>
      <c r="C129" s="108">
        <f>+C127/C124</f>
        <v>5.0847457627118647E-2</v>
      </c>
      <c r="D129" s="108">
        <f>+D127/D124</f>
        <v>0.10204081632653061</v>
      </c>
      <c r="E129" s="108">
        <f>+E127/E124</f>
        <v>7.407407407407407E-2</v>
      </c>
      <c r="F129" s="104"/>
      <c r="G129" s="104"/>
    </row>
    <row r="130" spans="1:7" x14ac:dyDescent="0.25">
      <c r="A130" s="104"/>
      <c r="B130" s="104"/>
      <c r="C130" s="104"/>
      <c r="D130" s="104"/>
      <c r="E130" s="104"/>
      <c r="F130" s="104"/>
      <c r="G130" s="104"/>
    </row>
    <row r="131" spans="1:7" ht="16.5" x14ac:dyDescent="0.3">
      <c r="A131" s="109"/>
      <c r="B131" s="109"/>
      <c r="C131" s="109"/>
      <c r="D131" s="71"/>
      <c r="E131" s="71" t="s">
        <v>402</v>
      </c>
      <c r="F131" s="151"/>
      <c r="G131" s="71"/>
    </row>
    <row r="132" spans="1:7" ht="16.5" x14ac:dyDescent="0.3">
      <c r="A132" s="109"/>
      <c r="B132" s="109"/>
      <c r="C132" s="109"/>
      <c r="D132" s="109"/>
      <c r="E132" s="109"/>
      <c r="F132" s="104"/>
      <c r="G132" s="109"/>
    </row>
    <row r="133" spans="1:7" ht="16.5" x14ac:dyDescent="0.3">
      <c r="A133" s="279" t="s">
        <v>403</v>
      </c>
      <c r="B133" s="279"/>
      <c r="C133" s="71"/>
      <c r="D133" s="71"/>
      <c r="E133" s="71" t="s">
        <v>404</v>
      </c>
      <c r="F133" s="151"/>
      <c r="G133" s="71"/>
    </row>
    <row r="134" spans="1:7" ht="16.5" x14ac:dyDescent="0.3">
      <c r="A134" s="109"/>
      <c r="B134" s="109"/>
      <c r="C134" s="109"/>
      <c r="D134" s="109"/>
      <c r="E134" s="109"/>
      <c r="F134" s="104"/>
      <c r="G134" s="109"/>
    </row>
    <row r="135" spans="1:7" ht="16.5" x14ac:dyDescent="0.3">
      <c r="A135" s="109"/>
      <c r="B135" s="109"/>
      <c r="C135" s="109"/>
      <c r="D135" s="109"/>
      <c r="E135" s="109"/>
      <c r="F135" s="104"/>
      <c r="G135" s="109"/>
    </row>
    <row r="136" spans="1:7" ht="16.5" x14ac:dyDescent="0.3">
      <c r="A136" s="109"/>
      <c r="B136" s="109"/>
      <c r="C136" s="109"/>
      <c r="D136" s="109"/>
      <c r="E136" s="109"/>
      <c r="F136" s="104"/>
      <c r="G136" s="109"/>
    </row>
    <row r="137" spans="1:7" ht="16.5" x14ac:dyDescent="0.3">
      <c r="A137" s="279" t="s">
        <v>410</v>
      </c>
      <c r="B137" s="279"/>
      <c r="C137" s="71"/>
      <c r="D137" s="71"/>
      <c r="E137" s="71" t="s">
        <v>8</v>
      </c>
      <c r="F137" s="151"/>
      <c r="G137" s="71"/>
    </row>
  </sheetData>
  <mergeCells count="8">
    <mergeCell ref="A133:B133"/>
    <mergeCell ref="A137:B137"/>
    <mergeCell ref="C2:E2"/>
    <mergeCell ref="B5:G5"/>
    <mergeCell ref="B6:G6"/>
    <mergeCell ref="B7:G8"/>
    <mergeCell ref="B9:E9"/>
    <mergeCell ref="B121:E121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G137"/>
  <sheetViews>
    <sheetView topLeftCell="A2" workbookViewId="0">
      <selection activeCell="B11" sqref="B11:B118"/>
    </sheetView>
  </sheetViews>
  <sheetFormatPr baseColWidth="10" defaultRowHeight="15" x14ac:dyDescent="0.25"/>
  <cols>
    <col min="1" max="1" width="6.42578125" customWidth="1"/>
    <col min="2" max="2" width="30.28515625" customWidth="1"/>
    <col min="4" max="4" width="13.28515625" customWidth="1"/>
    <col min="5" max="5" width="12.7109375" customWidth="1"/>
  </cols>
  <sheetData>
    <row r="1" spans="1:7" ht="20.25" x14ac:dyDescent="0.3">
      <c r="A1" s="74" t="s">
        <v>1</v>
      </c>
      <c r="B1" s="91"/>
      <c r="C1" s="119" t="s">
        <v>5</v>
      </c>
      <c r="D1" s="119"/>
      <c r="E1" s="119"/>
      <c r="F1" s="86"/>
      <c r="G1" s="86"/>
    </row>
    <row r="2" spans="1:7" ht="16.5" x14ac:dyDescent="0.3">
      <c r="A2" s="74" t="s">
        <v>2</v>
      </c>
      <c r="B2" s="91"/>
      <c r="C2" s="302" t="s">
        <v>6</v>
      </c>
      <c r="D2" s="302"/>
      <c r="E2" s="302"/>
      <c r="F2" s="86"/>
      <c r="G2" s="86"/>
    </row>
    <row r="3" spans="1:7" ht="16.5" x14ac:dyDescent="0.3">
      <c r="A3" s="74" t="s">
        <v>3</v>
      </c>
      <c r="B3" s="91"/>
      <c r="C3" s="91"/>
      <c r="D3" s="91"/>
      <c r="E3" s="91"/>
      <c r="F3" s="86"/>
      <c r="G3" s="86"/>
    </row>
    <row r="4" spans="1:7" ht="16.5" x14ac:dyDescent="0.3">
      <c r="A4" s="74" t="s">
        <v>4</v>
      </c>
      <c r="B4" s="91"/>
      <c r="C4" s="91"/>
      <c r="D4" s="120"/>
      <c r="E4" s="120"/>
      <c r="F4" s="86"/>
      <c r="G4" s="86"/>
    </row>
    <row r="5" spans="1:7" ht="16.5" x14ac:dyDescent="0.3">
      <c r="A5" s="91"/>
      <c r="B5" s="303" t="s">
        <v>450</v>
      </c>
      <c r="C5" s="303"/>
      <c r="D5" s="303"/>
      <c r="E5" s="303"/>
      <c r="F5" s="303"/>
      <c r="G5" s="303"/>
    </row>
    <row r="6" spans="1:7" ht="18" x14ac:dyDescent="0.3">
      <c r="A6" s="91"/>
      <c r="B6" s="303" t="s">
        <v>391</v>
      </c>
      <c r="C6" s="303"/>
      <c r="D6" s="303"/>
      <c r="E6" s="303"/>
      <c r="F6" s="303"/>
      <c r="G6" s="303"/>
    </row>
    <row r="7" spans="1:7" ht="16.5" x14ac:dyDescent="0.3">
      <c r="A7" s="91"/>
      <c r="B7" s="304" t="s">
        <v>453</v>
      </c>
      <c r="C7" s="304"/>
      <c r="D7" s="304"/>
      <c r="E7" s="304"/>
      <c r="F7" s="304"/>
      <c r="G7" s="304"/>
    </row>
    <row r="8" spans="1:7" ht="16.5" x14ac:dyDescent="0.3">
      <c r="A8" s="91"/>
      <c r="B8" s="304"/>
      <c r="C8" s="304"/>
      <c r="D8" s="304"/>
      <c r="E8" s="304"/>
      <c r="F8" s="304"/>
      <c r="G8" s="304"/>
    </row>
    <row r="9" spans="1:7" ht="16.5" x14ac:dyDescent="0.3">
      <c r="A9" s="91"/>
      <c r="B9" s="301"/>
      <c r="C9" s="301"/>
      <c r="D9" s="301"/>
      <c r="E9" s="301"/>
      <c r="F9" s="86"/>
      <c r="G9" s="86"/>
    </row>
    <row r="10" spans="1:7" ht="37.5" customHeight="1" x14ac:dyDescent="0.25">
      <c r="A10" s="78" t="s">
        <v>106</v>
      </c>
      <c r="B10" s="134" t="s">
        <v>0</v>
      </c>
      <c r="C10" s="72" t="s">
        <v>210</v>
      </c>
      <c r="D10" s="72" t="s">
        <v>445</v>
      </c>
      <c r="E10" s="72" t="s">
        <v>446</v>
      </c>
      <c r="F10" s="86"/>
      <c r="G10" s="86"/>
    </row>
    <row r="11" spans="1:7" ht="16.5" x14ac:dyDescent="0.3">
      <c r="A11" s="87" t="s">
        <v>110</v>
      </c>
      <c r="B11" s="82"/>
      <c r="C11" s="35"/>
      <c r="D11" s="35"/>
      <c r="E11" s="136">
        <f t="shared" ref="E11:E74" si="0">+(D11*2+C11)/3</f>
        <v>0</v>
      </c>
      <c r="F11" s="86"/>
      <c r="G11" s="86"/>
    </row>
    <row r="12" spans="1:7" ht="18" x14ac:dyDescent="0.3">
      <c r="A12" s="87" t="s">
        <v>212</v>
      </c>
      <c r="B12" s="82"/>
      <c r="C12" s="89"/>
      <c r="D12" s="89"/>
      <c r="E12" s="136">
        <f t="shared" si="0"/>
        <v>0</v>
      </c>
      <c r="F12" s="86"/>
      <c r="G12" s="86"/>
    </row>
    <row r="13" spans="1:7" ht="18" x14ac:dyDescent="0.3">
      <c r="A13" s="87" t="s">
        <v>213</v>
      </c>
      <c r="B13" s="82"/>
      <c r="C13" s="135"/>
      <c r="D13" s="89"/>
      <c r="E13" s="136">
        <f t="shared" si="0"/>
        <v>0</v>
      </c>
      <c r="F13" s="86"/>
      <c r="G13" s="86"/>
    </row>
    <row r="14" spans="1:7" ht="18" x14ac:dyDescent="0.3">
      <c r="A14" s="87" t="s">
        <v>214</v>
      </c>
      <c r="B14" s="110"/>
      <c r="C14" s="89"/>
      <c r="D14" s="89"/>
      <c r="E14" s="136">
        <f t="shared" si="0"/>
        <v>0</v>
      </c>
      <c r="F14" s="86"/>
      <c r="G14" s="86"/>
    </row>
    <row r="15" spans="1:7" ht="18" x14ac:dyDescent="0.3">
      <c r="A15" s="87" t="s">
        <v>215</v>
      </c>
      <c r="B15" s="82"/>
      <c r="C15" s="135"/>
      <c r="D15" s="89"/>
      <c r="E15" s="136">
        <f t="shared" si="0"/>
        <v>0</v>
      </c>
      <c r="F15" s="86"/>
      <c r="G15" s="86"/>
    </row>
    <row r="16" spans="1:7" ht="18" x14ac:dyDescent="0.3">
      <c r="A16" s="87" t="s">
        <v>216</v>
      </c>
      <c r="B16" s="110"/>
      <c r="C16" s="89"/>
      <c r="D16" s="89"/>
      <c r="E16" s="136">
        <f t="shared" si="0"/>
        <v>0</v>
      </c>
      <c r="F16" s="86"/>
      <c r="G16" s="86"/>
    </row>
    <row r="17" spans="1:7" ht="18" x14ac:dyDescent="0.3">
      <c r="A17" s="87" t="s">
        <v>217</v>
      </c>
      <c r="B17" s="110"/>
      <c r="C17" s="89"/>
      <c r="D17" s="89"/>
      <c r="E17" s="136">
        <f t="shared" si="0"/>
        <v>0</v>
      </c>
      <c r="F17" s="86"/>
      <c r="G17" s="86"/>
    </row>
    <row r="18" spans="1:7" ht="18" x14ac:dyDescent="0.3">
      <c r="A18" s="87" t="s">
        <v>218</v>
      </c>
      <c r="B18" s="82"/>
      <c r="C18" s="135"/>
      <c r="D18" s="89"/>
      <c r="E18" s="136">
        <f t="shared" si="0"/>
        <v>0</v>
      </c>
      <c r="F18" s="86"/>
      <c r="G18" s="86"/>
    </row>
    <row r="19" spans="1:7" ht="18" x14ac:dyDescent="0.3">
      <c r="A19" s="87" t="s">
        <v>219</v>
      </c>
      <c r="B19" s="82"/>
      <c r="C19" s="89"/>
      <c r="D19" s="89"/>
      <c r="E19" s="136">
        <f t="shared" si="0"/>
        <v>0</v>
      </c>
      <c r="F19" s="86"/>
      <c r="G19" s="86"/>
    </row>
    <row r="20" spans="1:7" ht="18" x14ac:dyDescent="0.3">
      <c r="A20" s="87" t="s">
        <v>220</v>
      </c>
      <c r="B20" s="110"/>
      <c r="C20" s="89"/>
      <c r="D20" s="89"/>
      <c r="E20" s="136">
        <f t="shared" si="0"/>
        <v>0</v>
      </c>
      <c r="F20" s="86"/>
      <c r="G20" s="86"/>
    </row>
    <row r="21" spans="1:7" ht="18" x14ac:dyDescent="0.3">
      <c r="A21" s="87" t="s">
        <v>221</v>
      </c>
      <c r="B21" s="110"/>
      <c r="C21" s="89"/>
      <c r="D21" s="89"/>
      <c r="E21" s="136">
        <f t="shared" si="0"/>
        <v>0</v>
      </c>
      <c r="F21" s="86"/>
      <c r="G21" s="86"/>
    </row>
    <row r="22" spans="1:7" ht="18" x14ac:dyDescent="0.3">
      <c r="A22" s="87" t="s">
        <v>222</v>
      </c>
      <c r="B22" s="110"/>
      <c r="C22" s="89"/>
      <c r="D22" s="89"/>
      <c r="E22" s="136">
        <f t="shared" si="0"/>
        <v>0</v>
      </c>
      <c r="F22" s="86"/>
      <c r="G22" s="86"/>
    </row>
    <row r="23" spans="1:7" ht="19.5" customHeight="1" x14ac:dyDescent="0.3">
      <c r="A23" s="87" t="s">
        <v>223</v>
      </c>
      <c r="B23" s="82"/>
      <c r="C23" s="135"/>
      <c r="D23" s="89"/>
      <c r="E23" s="136">
        <f t="shared" si="0"/>
        <v>0</v>
      </c>
      <c r="F23" s="86"/>
      <c r="G23" s="86"/>
    </row>
    <row r="24" spans="1:7" ht="18" x14ac:dyDescent="0.3">
      <c r="A24" s="87" t="s">
        <v>224</v>
      </c>
      <c r="B24" s="82"/>
      <c r="C24" s="135"/>
      <c r="D24" s="89"/>
      <c r="E24" s="136">
        <f t="shared" si="0"/>
        <v>0</v>
      </c>
      <c r="F24" s="86"/>
      <c r="G24" s="86"/>
    </row>
    <row r="25" spans="1:7" ht="18" x14ac:dyDescent="0.3">
      <c r="A25" s="87" t="s">
        <v>225</v>
      </c>
      <c r="B25" s="110"/>
      <c r="C25" s="89"/>
      <c r="D25" s="89"/>
      <c r="E25" s="136">
        <f t="shared" si="0"/>
        <v>0</v>
      </c>
      <c r="F25" s="86"/>
      <c r="G25" s="86"/>
    </row>
    <row r="26" spans="1:7" ht="18" x14ac:dyDescent="0.3">
      <c r="A26" s="87" t="s">
        <v>226</v>
      </c>
      <c r="B26" s="110"/>
      <c r="C26" s="135"/>
      <c r="D26" s="89"/>
      <c r="E26" s="136">
        <f t="shared" si="0"/>
        <v>0</v>
      </c>
      <c r="F26" s="86"/>
      <c r="G26" s="86"/>
    </row>
    <row r="27" spans="1:7" ht="18" x14ac:dyDescent="0.3">
      <c r="A27" s="87" t="s">
        <v>227</v>
      </c>
      <c r="B27" s="82"/>
      <c r="C27" s="135"/>
      <c r="D27" s="89"/>
      <c r="E27" s="136">
        <f t="shared" si="0"/>
        <v>0</v>
      </c>
      <c r="F27" s="86"/>
      <c r="G27" s="86"/>
    </row>
    <row r="28" spans="1:7" ht="24" customHeight="1" x14ac:dyDescent="0.3">
      <c r="A28" s="87" t="s">
        <v>228</v>
      </c>
      <c r="B28" s="82"/>
      <c r="C28" s="135"/>
      <c r="D28" s="89"/>
      <c r="E28" s="136">
        <f t="shared" si="0"/>
        <v>0</v>
      </c>
      <c r="F28" s="86"/>
      <c r="G28" s="86"/>
    </row>
    <row r="29" spans="1:7" ht="18" x14ac:dyDescent="0.3">
      <c r="A29" s="87" t="s">
        <v>229</v>
      </c>
      <c r="B29" s="110"/>
      <c r="C29" s="89"/>
      <c r="D29" s="89"/>
      <c r="E29" s="136">
        <f t="shared" si="0"/>
        <v>0</v>
      </c>
      <c r="F29" s="86"/>
      <c r="G29" s="86"/>
    </row>
    <row r="30" spans="1:7" ht="18" x14ac:dyDescent="0.3">
      <c r="A30" s="87" t="s">
        <v>230</v>
      </c>
      <c r="B30" s="82"/>
      <c r="C30" s="135"/>
      <c r="D30" s="89"/>
      <c r="E30" s="136">
        <f t="shared" si="0"/>
        <v>0</v>
      </c>
      <c r="F30" s="86"/>
      <c r="G30" s="86"/>
    </row>
    <row r="31" spans="1:7" ht="18" x14ac:dyDescent="0.3">
      <c r="A31" s="87" t="s">
        <v>231</v>
      </c>
      <c r="B31" s="110"/>
      <c r="C31" s="89"/>
      <c r="D31" s="89"/>
      <c r="E31" s="136">
        <f t="shared" si="0"/>
        <v>0</v>
      </c>
      <c r="F31" s="86"/>
      <c r="G31" s="86"/>
    </row>
    <row r="32" spans="1:7" ht="18" x14ac:dyDescent="0.3">
      <c r="A32" s="87" t="s">
        <v>232</v>
      </c>
      <c r="B32" s="110"/>
      <c r="C32" s="89"/>
      <c r="D32" s="89"/>
      <c r="E32" s="136">
        <f t="shared" si="0"/>
        <v>0</v>
      </c>
      <c r="F32" s="86"/>
      <c r="G32" s="86"/>
    </row>
    <row r="33" spans="1:7" ht="18" x14ac:dyDescent="0.3">
      <c r="A33" s="87" t="s">
        <v>233</v>
      </c>
      <c r="B33" s="110"/>
      <c r="C33" s="137"/>
      <c r="D33" s="138"/>
      <c r="E33" s="136">
        <f t="shared" si="0"/>
        <v>0</v>
      </c>
      <c r="F33" s="86"/>
      <c r="G33" s="86"/>
    </row>
    <row r="34" spans="1:7" ht="18" x14ac:dyDescent="0.3">
      <c r="A34" s="87" t="s">
        <v>234</v>
      </c>
      <c r="B34" s="110"/>
      <c r="C34" s="89"/>
      <c r="D34" s="89"/>
      <c r="E34" s="136">
        <f t="shared" si="0"/>
        <v>0</v>
      </c>
      <c r="F34" s="86"/>
      <c r="G34" s="86"/>
    </row>
    <row r="35" spans="1:7" ht="18" x14ac:dyDescent="0.3">
      <c r="A35" s="87" t="s">
        <v>235</v>
      </c>
      <c r="B35" s="110"/>
      <c r="C35" s="89"/>
      <c r="D35" s="89"/>
      <c r="E35" s="136">
        <f t="shared" si="0"/>
        <v>0</v>
      </c>
      <c r="F35" s="86"/>
      <c r="G35" s="86"/>
    </row>
    <row r="36" spans="1:7" ht="18" x14ac:dyDescent="0.3">
      <c r="A36" s="87" t="s">
        <v>236</v>
      </c>
      <c r="B36" s="110"/>
      <c r="C36" s="89"/>
      <c r="D36" s="89"/>
      <c r="E36" s="136">
        <f t="shared" si="0"/>
        <v>0</v>
      </c>
      <c r="F36" s="86"/>
      <c r="G36" s="86"/>
    </row>
    <row r="37" spans="1:7" ht="18" x14ac:dyDescent="0.3">
      <c r="A37" s="87" t="s">
        <v>237</v>
      </c>
      <c r="B37" s="82"/>
      <c r="C37" s="135"/>
      <c r="D37" s="89"/>
      <c r="E37" s="136">
        <f t="shared" si="0"/>
        <v>0</v>
      </c>
      <c r="F37" s="86"/>
      <c r="G37" s="86"/>
    </row>
    <row r="38" spans="1:7" ht="18" x14ac:dyDescent="0.3">
      <c r="A38" s="87" t="s">
        <v>238</v>
      </c>
      <c r="B38" s="110"/>
      <c r="C38" s="89"/>
      <c r="D38" s="89"/>
      <c r="E38" s="136">
        <f t="shared" si="0"/>
        <v>0</v>
      </c>
      <c r="F38" s="86"/>
      <c r="G38" s="86"/>
    </row>
    <row r="39" spans="1:7" ht="18" x14ac:dyDescent="0.3">
      <c r="A39" s="87" t="s">
        <v>239</v>
      </c>
      <c r="B39" s="110"/>
      <c r="C39" s="89"/>
      <c r="D39" s="89"/>
      <c r="E39" s="136">
        <f t="shared" si="0"/>
        <v>0</v>
      </c>
      <c r="F39" s="86"/>
      <c r="G39" s="86"/>
    </row>
    <row r="40" spans="1:7" ht="18.75" customHeight="1" x14ac:dyDescent="0.3">
      <c r="A40" s="87" t="s">
        <v>240</v>
      </c>
      <c r="B40" s="110"/>
      <c r="C40" s="89"/>
      <c r="D40" s="89"/>
      <c r="E40" s="136">
        <f t="shared" si="0"/>
        <v>0</v>
      </c>
      <c r="F40" s="86"/>
      <c r="G40" s="86"/>
    </row>
    <row r="41" spans="1:7" ht="18" x14ac:dyDescent="0.3">
      <c r="A41" s="87" t="s">
        <v>241</v>
      </c>
      <c r="B41" s="82"/>
      <c r="C41" s="135"/>
      <c r="D41" s="89"/>
      <c r="E41" s="136">
        <f t="shared" si="0"/>
        <v>0</v>
      </c>
      <c r="F41" s="86"/>
      <c r="G41" s="86"/>
    </row>
    <row r="42" spans="1:7" ht="18" x14ac:dyDescent="0.3">
      <c r="A42" s="87" t="s">
        <v>242</v>
      </c>
      <c r="B42" s="110"/>
      <c r="C42" s="89"/>
      <c r="D42" s="89"/>
      <c r="E42" s="136">
        <f t="shared" si="0"/>
        <v>0</v>
      </c>
      <c r="F42" s="86"/>
      <c r="G42" s="86"/>
    </row>
    <row r="43" spans="1:7" ht="18" x14ac:dyDescent="0.3">
      <c r="A43" s="87" t="s">
        <v>243</v>
      </c>
      <c r="B43" s="110"/>
      <c r="C43" s="89"/>
      <c r="D43" s="89"/>
      <c r="E43" s="136">
        <f t="shared" si="0"/>
        <v>0</v>
      </c>
      <c r="F43" s="86"/>
      <c r="G43" s="86"/>
    </row>
    <row r="44" spans="1:7" ht="21.75" customHeight="1" x14ac:dyDescent="0.3">
      <c r="A44" s="87" t="s">
        <v>244</v>
      </c>
      <c r="B44" s="110"/>
      <c r="C44" s="89"/>
      <c r="D44" s="89"/>
      <c r="E44" s="136">
        <f t="shared" si="0"/>
        <v>0</v>
      </c>
      <c r="F44" s="86"/>
      <c r="G44" s="86"/>
    </row>
    <row r="45" spans="1:7" ht="18" x14ac:dyDescent="0.3">
      <c r="A45" s="87" t="s">
        <v>245</v>
      </c>
      <c r="B45" s="110"/>
      <c r="C45" s="89"/>
      <c r="D45" s="89"/>
      <c r="E45" s="136">
        <f t="shared" si="0"/>
        <v>0</v>
      </c>
      <c r="F45" s="86"/>
      <c r="G45" s="86"/>
    </row>
    <row r="46" spans="1:7" ht="18" x14ac:dyDescent="0.3">
      <c r="A46" s="87" t="s">
        <v>246</v>
      </c>
      <c r="B46" s="110"/>
      <c r="C46" s="89"/>
      <c r="D46" s="89"/>
      <c r="E46" s="136">
        <f t="shared" si="0"/>
        <v>0</v>
      </c>
      <c r="F46" s="86"/>
      <c r="G46" s="86"/>
    </row>
    <row r="47" spans="1:7" ht="18" x14ac:dyDescent="0.3">
      <c r="A47" s="87" t="s">
        <v>247</v>
      </c>
      <c r="B47" s="110"/>
      <c r="C47" s="89"/>
      <c r="D47" s="89"/>
      <c r="E47" s="136">
        <f t="shared" si="0"/>
        <v>0</v>
      </c>
      <c r="F47" s="86"/>
      <c r="G47" s="86"/>
    </row>
    <row r="48" spans="1:7" ht="18" x14ac:dyDescent="0.3">
      <c r="A48" s="87" t="s">
        <v>248</v>
      </c>
      <c r="B48" s="110"/>
      <c r="C48" s="89"/>
      <c r="D48" s="89"/>
      <c r="E48" s="136">
        <f t="shared" si="0"/>
        <v>0</v>
      </c>
      <c r="F48" s="86"/>
      <c r="G48" s="86"/>
    </row>
    <row r="49" spans="1:7" ht="18" x14ac:dyDescent="0.3">
      <c r="A49" s="87" t="s">
        <v>249</v>
      </c>
      <c r="B49" s="110"/>
      <c r="C49" s="89"/>
      <c r="D49" s="89"/>
      <c r="E49" s="136">
        <f t="shared" si="0"/>
        <v>0</v>
      </c>
      <c r="F49" s="86"/>
      <c r="G49" s="86"/>
    </row>
    <row r="50" spans="1:7" ht="18" x14ac:dyDescent="0.3">
      <c r="A50" s="87" t="s">
        <v>250</v>
      </c>
      <c r="B50" s="110"/>
      <c r="C50" s="89"/>
      <c r="D50" s="89"/>
      <c r="E50" s="136">
        <f t="shared" si="0"/>
        <v>0</v>
      </c>
      <c r="F50" s="86"/>
      <c r="G50" s="86"/>
    </row>
    <row r="51" spans="1:7" ht="18" x14ac:dyDescent="0.3">
      <c r="A51" s="87" t="s">
        <v>251</v>
      </c>
      <c r="B51" s="110"/>
      <c r="C51" s="89"/>
      <c r="D51" s="89"/>
      <c r="E51" s="136">
        <f t="shared" si="0"/>
        <v>0</v>
      </c>
      <c r="F51" s="86"/>
      <c r="G51" s="86"/>
    </row>
    <row r="52" spans="1:7" ht="18" x14ac:dyDescent="0.3">
      <c r="A52" s="87" t="s">
        <v>252</v>
      </c>
      <c r="B52" s="110"/>
      <c r="C52" s="135"/>
      <c r="D52" s="89"/>
      <c r="E52" s="136">
        <f t="shared" si="0"/>
        <v>0</v>
      </c>
      <c r="F52" s="139"/>
      <c r="G52" s="139"/>
    </row>
    <row r="53" spans="1:7" ht="18" x14ac:dyDescent="0.3">
      <c r="A53" s="87" t="s">
        <v>253</v>
      </c>
      <c r="B53" s="110"/>
      <c r="C53" s="89"/>
      <c r="D53" s="89"/>
      <c r="E53" s="136">
        <f t="shared" si="0"/>
        <v>0</v>
      </c>
      <c r="F53" s="86"/>
      <c r="G53" s="86"/>
    </row>
    <row r="54" spans="1:7" ht="18" x14ac:dyDescent="0.3">
      <c r="A54" s="87" t="s">
        <v>254</v>
      </c>
      <c r="B54" s="82"/>
      <c r="C54" s="135"/>
      <c r="D54" s="89"/>
      <c r="E54" s="136">
        <f t="shared" si="0"/>
        <v>0</v>
      </c>
      <c r="F54" s="86"/>
      <c r="G54" s="86"/>
    </row>
    <row r="55" spans="1:7" ht="18" x14ac:dyDescent="0.3">
      <c r="A55" s="87" t="s">
        <v>255</v>
      </c>
      <c r="B55" s="110"/>
      <c r="C55" s="89"/>
      <c r="D55" s="89"/>
      <c r="E55" s="136">
        <f t="shared" si="0"/>
        <v>0</v>
      </c>
      <c r="F55" s="86"/>
      <c r="G55" s="86"/>
    </row>
    <row r="56" spans="1:7" ht="18" x14ac:dyDescent="0.3">
      <c r="A56" s="87" t="s">
        <v>256</v>
      </c>
      <c r="B56" s="110"/>
      <c r="C56" s="89"/>
      <c r="D56" s="89"/>
      <c r="E56" s="136">
        <f t="shared" si="0"/>
        <v>0</v>
      </c>
      <c r="F56" s="86"/>
      <c r="G56" s="86"/>
    </row>
    <row r="57" spans="1:7" ht="18" x14ac:dyDescent="0.3">
      <c r="A57" s="87" t="s">
        <v>257</v>
      </c>
      <c r="B57" s="82"/>
      <c r="C57" s="135"/>
      <c r="D57" s="89"/>
      <c r="E57" s="136">
        <f t="shared" si="0"/>
        <v>0</v>
      </c>
      <c r="F57" s="86"/>
      <c r="G57" s="86"/>
    </row>
    <row r="58" spans="1:7" ht="18" x14ac:dyDescent="0.3">
      <c r="A58" s="87" t="s">
        <v>258</v>
      </c>
      <c r="B58" s="82"/>
      <c r="C58" s="135"/>
      <c r="D58" s="89"/>
      <c r="E58" s="136">
        <f t="shared" si="0"/>
        <v>0</v>
      </c>
      <c r="F58" s="86"/>
      <c r="G58" s="86"/>
    </row>
    <row r="59" spans="1:7" ht="18" x14ac:dyDescent="0.3">
      <c r="A59" s="87" t="s">
        <v>259</v>
      </c>
      <c r="B59" s="110"/>
      <c r="C59" s="89"/>
      <c r="D59" s="89"/>
      <c r="E59" s="136">
        <f t="shared" si="0"/>
        <v>0</v>
      </c>
      <c r="F59" s="86"/>
      <c r="G59" s="86"/>
    </row>
    <row r="60" spans="1:7" ht="18" x14ac:dyDescent="0.3">
      <c r="A60" s="87" t="s">
        <v>260</v>
      </c>
      <c r="B60" s="110"/>
      <c r="C60" s="138"/>
      <c r="D60" s="138"/>
      <c r="E60" s="136">
        <f t="shared" si="0"/>
        <v>0</v>
      </c>
      <c r="F60" s="86"/>
      <c r="G60" s="86"/>
    </row>
    <row r="61" spans="1:7" ht="18" x14ac:dyDescent="0.3">
      <c r="A61" s="87" t="s">
        <v>261</v>
      </c>
      <c r="B61" s="82"/>
      <c r="C61" s="135"/>
      <c r="D61" s="89"/>
      <c r="E61" s="136">
        <f t="shared" si="0"/>
        <v>0</v>
      </c>
      <c r="F61" s="86"/>
      <c r="G61" s="86"/>
    </row>
    <row r="62" spans="1:7" ht="18" x14ac:dyDescent="0.3">
      <c r="A62" s="87" t="s">
        <v>262</v>
      </c>
      <c r="B62" s="110"/>
      <c r="C62" s="89"/>
      <c r="D62" s="89"/>
      <c r="E62" s="136">
        <f t="shared" si="0"/>
        <v>0</v>
      </c>
      <c r="F62" s="86"/>
      <c r="G62" s="86"/>
    </row>
    <row r="63" spans="1:7" ht="18" x14ac:dyDescent="0.3">
      <c r="A63" s="87" t="s">
        <v>263</v>
      </c>
      <c r="B63" s="113"/>
      <c r="C63" s="82"/>
      <c r="D63" s="82"/>
      <c r="E63" s="136">
        <f t="shared" si="0"/>
        <v>0</v>
      </c>
      <c r="F63" s="86"/>
      <c r="G63" s="86"/>
    </row>
    <row r="64" spans="1:7" ht="18" x14ac:dyDescent="0.3">
      <c r="A64" s="87" t="s">
        <v>264</v>
      </c>
      <c r="B64" s="110"/>
      <c r="C64" s="89"/>
      <c r="D64" s="89"/>
      <c r="E64" s="136">
        <f t="shared" si="0"/>
        <v>0</v>
      </c>
      <c r="F64" s="86"/>
      <c r="G64" s="86"/>
    </row>
    <row r="65" spans="1:7" ht="18" x14ac:dyDescent="0.3">
      <c r="A65" s="87" t="s">
        <v>265</v>
      </c>
      <c r="B65" s="82"/>
      <c r="C65" s="135"/>
      <c r="D65" s="89"/>
      <c r="E65" s="136">
        <f t="shared" si="0"/>
        <v>0</v>
      </c>
      <c r="F65" s="86"/>
      <c r="G65" s="86"/>
    </row>
    <row r="66" spans="1:7" ht="18" x14ac:dyDescent="0.3">
      <c r="A66" s="87" t="s">
        <v>266</v>
      </c>
      <c r="B66" s="110"/>
      <c r="C66" s="89"/>
      <c r="D66" s="89"/>
      <c r="E66" s="136">
        <f t="shared" si="0"/>
        <v>0</v>
      </c>
      <c r="F66" s="86"/>
      <c r="G66" s="86"/>
    </row>
    <row r="67" spans="1:7" ht="18" x14ac:dyDescent="0.3">
      <c r="A67" s="87" t="s">
        <v>267</v>
      </c>
      <c r="B67" s="110"/>
      <c r="C67" s="89"/>
      <c r="D67" s="89"/>
      <c r="E67" s="136">
        <f t="shared" si="0"/>
        <v>0</v>
      </c>
      <c r="F67" s="86"/>
      <c r="G67" s="86"/>
    </row>
    <row r="68" spans="1:7" ht="18" x14ac:dyDescent="0.3">
      <c r="A68" s="87" t="s">
        <v>268</v>
      </c>
      <c r="B68" s="82"/>
      <c r="C68" s="89"/>
      <c r="D68" s="89"/>
      <c r="E68" s="136">
        <f t="shared" si="0"/>
        <v>0</v>
      </c>
      <c r="F68" s="86"/>
      <c r="G68" s="86"/>
    </row>
    <row r="69" spans="1:7" ht="18" x14ac:dyDescent="0.3">
      <c r="A69" s="87" t="s">
        <v>269</v>
      </c>
      <c r="B69" s="110"/>
      <c r="C69" s="135"/>
      <c r="D69" s="89"/>
      <c r="E69" s="136">
        <f t="shared" si="0"/>
        <v>0</v>
      </c>
      <c r="F69" s="86"/>
      <c r="G69" s="86"/>
    </row>
    <row r="70" spans="1:7" ht="18" x14ac:dyDescent="0.3">
      <c r="A70" s="87" t="s">
        <v>270</v>
      </c>
      <c r="B70" s="110"/>
      <c r="C70" s="89"/>
      <c r="D70" s="89"/>
      <c r="E70" s="136">
        <f t="shared" si="0"/>
        <v>0</v>
      </c>
      <c r="F70" s="86"/>
      <c r="G70" s="86"/>
    </row>
    <row r="71" spans="1:7" ht="18" x14ac:dyDescent="0.3">
      <c r="A71" s="87" t="s">
        <v>271</v>
      </c>
      <c r="B71" s="82"/>
      <c r="C71" s="89"/>
      <c r="D71" s="89"/>
      <c r="E71" s="136">
        <f t="shared" si="0"/>
        <v>0</v>
      </c>
      <c r="F71" s="86"/>
      <c r="G71" s="86"/>
    </row>
    <row r="72" spans="1:7" ht="18" x14ac:dyDescent="0.3">
      <c r="A72" s="87" t="s">
        <v>272</v>
      </c>
      <c r="B72" s="110"/>
      <c r="C72" s="89"/>
      <c r="D72" s="89"/>
      <c r="E72" s="136">
        <f t="shared" si="0"/>
        <v>0</v>
      </c>
      <c r="F72" s="86"/>
      <c r="G72" s="86"/>
    </row>
    <row r="73" spans="1:7" ht="18" x14ac:dyDescent="0.3">
      <c r="A73" s="87" t="s">
        <v>273</v>
      </c>
      <c r="B73" s="110"/>
      <c r="C73" s="89"/>
      <c r="D73" s="89"/>
      <c r="E73" s="136">
        <f t="shared" si="0"/>
        <v>0</v>
      </c>
      <c r="F73" s="86"/>
      <c r="G73" s="86"/>
    </row>
    <row r="74" spans="1:7" ht="18" x14ac:dyDescent="0.3">
      <c r="A74" s="87" t="s">
        <v>274</v>
      </c>
      <c r="B74" s="110"/>
      <c r="C74" s="89"/>
      <c r="D74" s="89"/>
      <c r="E74" s="136">
        <f t="shared" si="0"/>
        <v>0</v>
      </c>
      <c r="F74" s="86"/>
      <c r="G74" s="86"/>
    </row>
    <row r="75" spans="1:7" ht="18" x14ac:dyDescent="0.3">
      <c r="A75" s="87" t="s">
        <v>275</v>
      </c>
      <c r="B75" s="110"/>
      <c r="C75" s="89"/>
      <c r="D75" s="89"/>
      <c r="E75" s="136">
        <f t="shared" ref="E75:E118" si="1">+(D75*2+C75)/3</f>
        <v>0</v>
      </c>
      <c r="F75" s="86"/>
      <c r="G75" s="86"/>
    </row>
    <row r="76" spans="1:7" ht="18" x14ac:dyDescent="0.3">
      <c r="A76" s="87" t="s">
        <v>276</v>
      </c>
      <c r="B76" s="110"/>
      <c r="C76" s="89"/>
      <c r="D76" s="89"/>
      <c r="E76" s="136">
        <f t="shared" si="1"/>
        <v>0</v>
      </c>
      <c r="F76" s="86"/>
      <c r="G76" s="86"/>
    </row>
    <row r="77" spans="1:7" ht="18" x14ac:dyDescent="0.3">
      <c r="A77" s="87" t="s">
        <v>277</v>
      </c>
      <c r="B77" s="110"/>
      <c r="C77" s="89"/>
      <c r="D77" s="89"/>
      <c r="E77" s="136">
        <f t="shared" si="1"/>
        <v>0</v>
      </c>
      <c r="F77" s="86"/>
      <c r="G77" s="86"/>
    </row>
    <row r="78" spans="1:7" ht="18" x14ac:dyDescent="0.3">
      <c r="A78" s="87" t="s">
        <v>278</v>
      </c>
      <c r="B78" s="110"/>
      <c r="C78" s="89"/>
      <c r="D78" s="89"/>
      <c r="E78" s="136">
        <f t="shared" si="1"/>
        <v>0</v>
      </c>
      <c r="F78" s="86"/>
      <c r="G78" s="86"/>
    </row>
    <row r="79" spans="1:7" ht="18" x14ac:dyDescent="0.3">
      <c r="A79" s="87" t="s">
        <v>279</v>
      </c>
      <c r="B79" s="110"/>
      <c r="C79" s="89"/>
      <c r="D79" s="89"/>
      <c r="E79" s="136">
        <f t="shared" si="1"/>
        <v>0</v>
      </c>
      <c r="F79" s="86"/>
      <c r="G79" s="86"/>
    </row>
    <row r="80" spans="1:7" ht="18" x14ac:dyDescent="0.3">
      <c r="A80" s="87" t="s">
        <v>280</v>
      </c>
      <c r="B80" s="110"/>
      <c r="C80" s="137"/>
      <c r="D80" s="138"/>
      <c r="E80" s="136">
        <f t="shared" si="1"/>
        <v>0</v>
      </c>
      <c r="F80" s="86"/>
      <c r="G80" s="86"/>
    </row>
    <row r="81" spans="1:7" ht="21" customHeight="1" x14ac:dyDescent="0.3">
      <c r="A81" s="87" t="s">
        <v>281</v>
      </c>
      <c r="B81" s="110"/>
      <c r="C81" s="135"/>
      <c r="D81" s="89"/>
      <c r="E81" s="136">
        <f t="shared" si="1"/>
        <v>0</v>
      </c>
      <c r="F81" s="86"/>
      <c r="G81" s="86"/>
    </row>
    <row r="82" spans="1:7" ht="18" x14ac:dyDescent="0.3">
      <c r="A82" s="87" t="s">
        <v>282</v>
      </c>
      <c r="B82" s="110"/>
      <c r="C82" s="89"/>
      <c r="D82" s="89"/>
      <c r="E82" s="136">
        <f t="shared" si="1"/>
        <v>0</v>
      </c>
      <c r="F82" s="86"/>
      <c r="G82" s="86"/>
    </row>
    <row r="83" spans="1:7" ht="18" x14ac:dyDescent="0.3">
      <c r="A83" s="87" t="s">
        <v>283</v>
      </c>
      <c r="B83" s="82"/>
      <c r="C83" s="135"/>
      <c r="D83" s="89"/>
      <c r="E83" s="136">
        <f t="shared" si="1"/>
        <v>0</v>
      </c>
      <c r="F83" s="86"/>
      <c r="G83" s="86"/>
    </row>
    <row r="84" spans="1:7" ht="18" x14ac:dyDescent="0.3">
      <c r="A84" s="87" t="s">
        <v>284</v>
      </c>
      <c r="B84" s="82"/>
      <c r="C84" s="135"/>
      <c r="D84" s="89"/>
      <c r="E84" s="136">
        <f t="shared" si="1"/>
        <v>0</v>
      </c>
      <c r="F84" s="86"/>
      <c r="G84" s="86"/>
    </row>
    <row r="85" spans="1:7" ht="18" x14ac:dyDescent="0.3">
      <c r="A85" s="87" t="s">
        <v>285</v>
      </c>
      <c r="B85" s="110"/>
      <c r="C85" s="89"/>
      <c r="D85" s="89"/>
      <c r="E85" s="136">
        <f t="shared" si="1"/>
        <v>0</v>
      </c>
      <c r="F85" s="86"/>
      <c r="G85" s="86"/>
    </row>
    <row r="86" spans="1:7" ht="18" x14ac:dyDescent="0.3">
      <c r="A86" s="87" t="s">
        <v>286</v>
      </c>
      <c r="B86" s="110"/>
      <c r="C86" s="89"/>
      <c r="D86" s="89"/>
      <c r="E86" s="136">
        <f t="shared" si="1"/>
        <v>0</v>
      </c>
      <c r="F86" s="86"/>
      <c r="G86" s="86"/>
    </row>
    <row r="87" spans="1:7" ht="18" x14ac:dyDescent="0.3">
      <c r="A87" s="87" t="s">
        <v>287</v>
      </c>
      <c r="B87" s="110"/>
      <c r="C87" s="126"/>
      <c r="D87" s="89"/>
      <c r="E87" s="136">
        <f t="shared" si="1"/>
        <v>0</v>
      </c>
      <c r="F87" s="86"/>
      <c r="G87" s="86"/>
    </row>
    <row r="88" spans="1:7" ht="18" x14ac:dyDescent="0.3">
      <c r="A88" s="87" t="s">
        <v>288</v>
      </c>
      <c r="B88" s="110"/>
      <c r="C88" s="124"/>
      <c r="D88" s="89"/>
      <c r="E88" s="136">
        <f t="shared" si="1"/>
        <v>0</v>
      </c>
      <c r="F88" s="86"/>
      <c r="G88" s="86"/>
    </row>
    <row r="89" spans="1:7" ht="18" x14ac:dyDescent="0.3">
      <c r="A89" s="87" t="s">
        <v>289</v>
      </c>
      <c r="B89" s="110"/>
      <c r="C89" s="89"/>
      <c r="D89" s="89"/>
      <c r="E89" s="136">
        <f t="shared" si="1"/>
        <v>0</v>
      </c>
      <c r="F89" s="86"/>
      <c r="G89" s="86"/>
    </row>
    <row r="90" spans="1:7" ht="18" x14ac:dyDescent="0.3">
      <c r="A90" s="87" t="s">
        <v>290</v>
      </c>
      <c r="B90" s="110"/>
      <c r="C90" s="138"/>
      <c r="D90" s="138"/>
      <c r="E90" s="136">
        <f t="shared" si="1"/>
        <v>0</v>
      </c>
      <c r="F90" s="86"/>
      <c r="G90" s="86"/>
    </row>
    <row r="91" spans="1:7" ht="18" x14ac:dyDescent="0.3">
      <c r="A91" s="87" t="s">
        <v>291</v>
      </c>
      <c r="B91" s="82"/>
      <c r="C91" s="126"/>
      <c r="D91" s="89"/>
      <c r="E91" s="136">
        <f t="shared" si="1"/>
        <v>0</v>
      </c>
      <c r="F91" s="86"/>
      <c r="G91" s="86"/>
    </row>
    <row r="92" spans="1:7" ht="18" x14ac:dyDescent="0.3">
      <c r="A92" s="87" t="s">
        <v>292</v>
      </c>
      <c r="B92" s="110"/>
      <c r="C92" s="89"/>
      <c r="D92" s="89"/>
      <c r="E92" s="136">
        <f t="shared" si="1"/>
        <v>0</v>
      </c>
      <c r="F92" s="86"/>
      <c r="G92" s="86"/>
    </row>
    <row r="93" spans="1:7" ht="20.25" customHeight="1" x14ac:dyDescent="0.3">
      <c r="A93" s="87" t="s">
        <v>293</v>
      </c>
      <c r="B93" s="82"/>
      <c r="C93" s="135"/>
      <c r="D93" s="89"/>
      <c r="E93" s="136">
        <f t="shared" si="1"/>
        <v>0</v>
      </c>
      <c r="F93" s="86"/>
      <c r="G93" s="86"/>
    </row>
    <row r="94" spans="1:7" ht="18" x14ac:dyDescent="0.3">
      <c r="A94" s="87" t="s">
        <v>294</v>
      </c>
      <c r="B94" s="110"/>
      <c r="C94" s="124"/>
      <c r="D94" s="124"/>
      <c r="E94" s="136">
        <f t="shared" si="1"/>
        <v>0</v>
      </c>
      <c r="F94" s="86"/>
      <c r="G94" s="86"/>
    </row>
    <row r="95" spans="1:7" ht="18" x14ac:dyDescent="0.3">
      <c r="A95" s="87" t="s">
        <v>295</v>
      </c>
      <c r="B95" s="110"/>
      <c r="C95" s="135"/>
      <c r="D95" s="89"/>
      <c r="E95" s="136">
        <f t="shared" si="1"/>
        <v>0</v>
      </c>
      <c r="F95" s="86"/>
      <c r="G95" s="86"/>
    </row>
    <row r="96" spans="1:7" ht="18" x14ac:dyDescent="0.3">
      <c r="A96" s="87" t="s">
        <v>296</v>
      </c>
      <c r="B96" s="110"/>
      <c r="C96" s="89"/>
      <c r="D96" s="89"/>
      <c r="E96" s="136">
        <f t="shared" si="1"/>
        <v>0</v>
      </c>
      <c r="F96" s="86"/>
      <c r="G96" s="86"/>
    </row>
    <row r="97" spans="1:7" ht="18" x14ac:dyDescent="0.3">
      <c r="A97" s="87" t="s">
        <v>297</v>
      </c>
      <c r="B97" s="110"/>
      <c r="C97" s="89"/>
      <c r="D97" s="89"/>
      <c r="E97" s="136">
        <f t="shared" si="1"/>
        <v>0</v>
      </c>
      <c r="F97" s="86"/>
      <c r="G97" s="86"/>
    </row>
    <row r="98" spans="1:7" ht="18" x14ac:dyDescent="0.3">
      <c r="A98" s="87" t="s">
        <v>298</v>
      </c>
      <c r="B98" s="110"/>
      <c r="C98" s="89"/>
      <c r="D98" s="89"/>
      <c r="E98" s="136">
        <f t="shared" si="1"/>
        <v>0</v>
      </c>
      <c r="F98" s="86"/>
      <c r="G98" s="86"/>
    </row>
    <row r="99" spans="1:7" ht="18" x14ac:dyDescent="0.3">
      <c r="A99" s="87" t="s">
        <v>299</v>
      </c>
      <c r="B99" s="82"/>
      <c r="C99" s="135"/>
      <c r="D99" s="124"/>
      <c r="E99" s="136">
        <f t="shared" si="1"/>
        <v>0</v>
      </c>
      <c r="F99" s="86"/>
      <c r="G99" s="86"/>
    </row>
    <row r="100" spans="1:7" ht="18" x14ac:dyDescent="0.3">
      <c r="A100" s="87" t="s">
        <v>300</v>
      </c>
      <c r="B100" s="110"/>
      <c r="C100" s="89"/>
      <c r="D100" s="89"/>
      <c r="E100" s="136">
        <f t="shared" si="1"/>
        <v>0</v>
      </c>
      <c r="F100" s="86"/>
      <c r="G100" s="86"/>
    </row>
    <row r="101" spans="1:7" ht="18" x14ac:dyDescent="0.3">
      <c r="A101" s="87" t="s">
        <v>301</v>
      </c>
      <c r="B101" s="110"/>
      <c r="C101" s="89"/>
      <c r="D101" s="89"/>
      <c r="E101" s="136">
        <f t="shared" si="1"/>
        <v>0</v>
      </c>
      <c r="F101" s="86"/>
      <c r="G101" s="86"/>
    </row>
    <row r="102" spans="1:7" ht="18" x14ac:dyDescent="0.3">
      <c r="A102" s="87" t="s">
        <v>302</v>
      </c>
      <c r="B102" s="110"/>
      <c r="C102" s="89"/>
      <c r="D102" s="89"/>
      <c r="E102" s="136">
        <f t="shared" si="1"/>
        <v>0</v>
      </c>
      <c r="F102" s="86"/>
      <c r="G102" s="86"/>
    </row>
    <row r="103" spans="1:7" ht="18" x14ac:dyDescent="0.3">
      <c r="A103" s="87" t="s">
        <v>303</v>
      </c>
      <c r="B103" s="110"/>
      <c r="C103" s="135"/>
      <c r="D103" s="89"/>
      <c r="E103" s="136">
        <f t="shared" si="1"/>
        <v>0</v>
      </c>
      <c r="F103" s="86"/>
      <c r="G103" s="86"/>
    </row>
    <row r="104" spans="1:7" ht="18" x14ac:dyDescent="0.3">
      <c r="A104" s="87" t="s">
        <v>304</v>
      </c>
      <c r="B104" s="82"/>
      <c r="C104" s="135"/>
      <c r="D104" s="89"/>
      <c r="E104" s="136">
        <f t="shared" si="1"/>
        <v>0</v>
      </c>
      <c r="F104" s="86"/>
      <c r="G104" s="86"/>
    </row>
    <row r="105" spans="1:7" ht="18" x14ac:dyDescent="0.3">
      <c r="A105" s="87" t="s">
        <v>305</v>
      </c>
      <c r="B105" s="82"/>
      <c r="C105" s="89"/>
      <c r="D105" s="89"/>
      <c r="E105" s="136">
        <f t="shared" si="1"/>
        <v>0</v>
      </c>
      <c r="F105" s="86"/>
      <c r="G105" s="86"/>
    </row>
    <row r="106" spans="1:7" ht="18" x14ac:dyDescent="0.3">
      <c r="A106" s="87" t="s">
        <v>306</v>
      </c>
      <c r="B106" s="110"/>
      <c r="C106" s="89"/>
      <c r="D106" s="89"/>
      <c r="E106" s="136">
        <f t="shared" si="1"/>
        <v>0</v>
      </c>
      <c r="F106" s="86"/>
      <c r="G106" s="86"/>
    </row>
    <row r="107" spans="1:7" ht="18" x14ac:dyDescent="0.3">
      <c r="A107" s="87" t="s">
        <v>307</v>
      </c>
      <c r="B107" s="110"/>
      <c r="C107" s="89"/>
      <c r="D107" s="89"/>
      <c r="E107" s="136">
        <f t="shared" si="1"/>
        <v>0</v>
      </c>
      <c r="F107" s="86"/>
      <c r="G107" s="86"/>
    </row>
    <row r="108" spans="1:7" ht="18" x14ac:dyDescent="0.3">
      <c r="A108" s="87" t="s">
        <v>308</v>
      </c>
      <c r="B108" s="110"/>
      <c r="C108" s="89"/>
      <c r="D108" s="89"/>
      <c r="E108" s="136">
        <f t="shared" si="1"/>
        <v>0</v>
      </c>
      <c r="F108" s="86"/>
      <c r="G108" s="86"/>
    </row>
    <row r="109" spans="1:7" ht="18" x14ac:dyDescent="0.3">
      <c r="A109" s="87" t="s">
        <v>309</v>
      </c>
      <c r="B109" s="110"/>
      <c r="C109" s="89"/>
      <c r="D109" s="89"/>
      <c r="E109" s="136">
        <f t="shared" si="1"/>
        <v>0</v>
      </c>
      <c r="F109" s="86"/>
      <c r="G109" s="86"/>
    </row>
    <row r="110" spans="1:7" ht="18" x14ac:dyDescent="0.3">
      <c r="A110" s="87" t="s">
        <v>386</v>
      </c>
      <c r="B110" s="110"/>
      <c r="C110" s="89"/>
      <c r="D110" s="89"/>
      <c r="E110" s="136">
        <f t="shared" si="1"/>
        <v>0</v>
      </c>
      <c r="F110" s="86"/>
      <c r="G110" s="86"/>
    </row>
    <row r="111" spans="1:7" ht="18" x14ac:dyDescent="0.3">
      <c r="A111" s="87" t="s">
        <v>387</v>
      </c>
      <c r="B111" s="110"/>
      <c r="C111" s="89"/>
      <c r="D111" s="89"/>
      <c r="E111" s="136">
        <f t="shared" si="1"/>
        <v>0</v>
      </c>
      <c r="F111" s="86"/>
      <c r="G111" s="86"/>
    </row>
    <row r="112" spans="1:7" ht="18" x14ac:dyDescent="0.3">
      <c r="A112" s="87" t="s">
        <v>412</v>
      </c>
      <c r="B112" s="110"/>
      <c r="C112" s="135"/>
      <c r="D112" s="89"/>
      <c r="E112" s="136">
        <f t="shared" si="1"/>
        <v>0</v>
      </c>
      <c r="F112" s="86"/>
      <c r="G112" s="86"/>
    </row>
    <row r="113" spans="1:7" ht="18" x14ac:dyDescent="0.3">
      <c r="A113" s="87" t="s">
        <v>432</v>
      </c>
      <c r="B113" s="110"/>
      <c r="C113" s="89"/>
      <c r="D113" s="89"/>
      <c r="E113" s="136">
        <f t="shared" si="1"/>
        <v>0</v>
      </c>
      <c r="F113" s="139"/>
      <c r="G113" s="139"/>
    </row>
    <row r="114" spans="1:7" ht="18" x14ac:dyDescent="0.3">
      <c r="A114" s="87" t="s">
        <v>433</v>
      </c>
      <c r="B114" s="110"/>
      <c r="C114" s="89"/>
      <c r="D114" s="89"/>
      <c r="E114" s="136">
        <f t="shared" si="1"/>
        <v>0</v>
      </c>
      <c r="F114" s="139"/>
      <c r="G114" s="139"/>
    </row>
    <row r="115" spans="1:7" ht="18" x14ac:dyDescent="0.3">
      <c r="A115" s="87" t="s">
        <v>434</v>
      </c>
      <c r="B115" s="110"/>
      <c r="C115" s="89"/>
      <c r="D115" s="89"/>
      <c r="E115" s="136">
        <f t="shared" si="1"/>
        <v>0</v>
      </c>
      <c r="F115" s="139"/>
      <c r="G115" s="139"/>
    </row>
    <row r="116" spans="1:7" ht="18" x14ac:dyDescent="0.3">
      <c r="A116" s="87" t="s">
        <v>435</v>
      </c>
      <c r="B116" s="110"/>
      <c r="C116" s="89"/>
      <c r="D116" s="89"/>
      <c r="E116" s="136">
        <f t="shared" si="1"/>
        <v>0</v>
      </c>
      <c r="F116" s="86"/>
      <c r="G116" s="86"/>
    </row>
    <row r="117" spans="1:7" ht="18" x14ac:dyDescent="0.3">
      <c r="A117" s="87" t="s">
        <v>436</v>
      </c>
      <c r="B117" s="110"/>
      <c r="C117" s="89"/>
      <c r="D117" s="89"/>
      <c r="E117" s="136">
        <f t="shared" si="1"/>
        <v>0</v>
      </c>
      <c r="F117" s="86"/>
      <c r="G117" s="86"/>
    </row>
    <row r="118" spans="1:7" ht="18" x14ac:dyDescent="0.3">
      <c r="A118" s="87" t="s">
        <v>437</v>
      </c>
      <c r="B118" s="110"/>
      <c r="C118" s="89"/>
      <c r="D118" s="89"/>
      <c r="E118" s="136">
        <f t="shared" si="1"/>
        <v>0</v>
      </c>
      <c r="F118" s="86"/>
      <c r="G118" s="86"/>
    </row>
    <row r="119" spans="1:7" ht="18" x14ac:dyDescent="0.3">
      <c r="A119" s="87" t="s">
        <v>438</v>
      </c>
      <c r="B119" s="110"/>
      <c r="C119" s="89"/>
      <c r="D119" s="89"/>
      <c r="E119" s="87"/>
      <c r="F119" s="86"/>
      <c r="G119" s="86"/>
    </row>
    <row r="120" spans="1:7" ht="16.5" x14ac:dyDescent="0.3">
      <c r="A120" s="140"/>
      <c r="B120" s="141"/>
      <c r="C120" s="142"/>
      <c r="D120" s="142"/>
      <c r="E120" s="142"/>
      <c r="F120" s="86"/>
      <c r="G120" s="86"/>
    </row>
    <row r="121" spans="1:7" ht="16.5" x14ac:dyDescent="0.3">
      <c r="A121" s="91"/>
      <c r="B121" s="291" t="s">
        <v>392</v>
      </c>
      <c r="C121" s="291"/>
      <c r="D121" s="291"/>
      <c r="E121" s="291"/>
      <c r="F121" s="86"/>
      <c r="G121" s="86"/>
    </row>
    <row r="122" spans="1:7" ht="16.5" x14ac:dyDescent="0.3">
      <c r="A122" s="91"/>
      <c r="B122" s="91"/>
      <c r="C122" s="91"/>
      <c r="D122" s="91"/>
      <c r="E122" s="91"/>
      <c r="F122" s="86"/>
      <c r="G122" s="86"/>
    </row>
    <row r="123" spans="1:7" ht="16.5" x14ac:dyDescent="0.3">
      <c r="A123" s="91"/>
      <c r="B123" s="91"/>
      <c r="C123" s="87" t="s">
        <v>393</v>
      </c>
      <c r="D123" s="87" t="s">
        <v>394</v>
      </c>
      <c r="E123" s="87" t="s">
        <v>395</v>
      </c>
      <c r="F123" s="86"/>
      <c r="G123" s="86"/>
    </row>
    <row r="124" spans="1:7" ht="16.5" x14ac:dyDescent="0.3">
      <c r="A124" s="91"/>
      <c r="B124" s="88" t="s">
        <v>396</v>
      </c>
      <c r="C124" s="89">
        <v>59</v>
      </c>
      <c r="D124" s="89">
        <v>49</v>
      </c>
      <c r="E124" s="89">
        <f>SUM(C124:D124)</f>
        <v>108</v>
      </c>
      <c r="F124" s="86"/>
      <c r="G124" s="86"/>
    </row>
    <row r="125" spans="1:7" ht="16.5" x14ac:dyDescent="0.3">
      <c r="A125" s="91"/>
      <c r="B125" s="87" t="s">
        <v>397</v>
      </c>
      <c r="C125" s="89">
        <v>54</v>
      </c>
      <c r="D125" s="89">
        <v>43</v>
      </c>
      <c r="E125" s="89">
        <f>SUM(C125:D125)</f>
        <v>97</v>
      </c>
      <c r="F125" s="86"/>
      <c r="G125" s="86"/>
    </row>
    <row r="126" spans="1:7" ht="16.5" x14ac:dyDescent="0.3">
      <c r="A126" s="91"/>
      <c r="B126" s="87" t="s">
        <v>398</v>
      </c>
      <c r="C126" s="89">
        <v>5</v>
      </c>
      <c r="D126" s="89">
        <v>6</v>
      </c>
      <c r="E126" s="89">
        <f>SUM(C126:D126)</f>
        <v>11</v>
      </c>
      <c r="F126" s="86"/>
      <c r="G126" s="86"/>
    </row>
    <row r="127" spans="1:7" ht="16.5" x14ac:dyDescent="0.3">
      <c r="A127" s="91"/>
      <c r="B127" s="87" t="s">
        <v>399</v>
      </c>
      <c r="C127" s="89">
        <v>3</v>
      </c>
      <c r="D127" s="89">
        <v>5</v>
      </c>
      <c r="E127" s="89">
        <f>SUM(C127:D127)</f>
        <v>8</v>
      </c>
      <c r="F127" s="86"/>
      <c r="G127" s="86"/>
    </row>
    <row r="128" spans="1:7" ht="16.5" x14ac:dyDescent="0.3">
      <c r="A128" s="91"/>
      <c r="B128" s="87" t="s">
        <v>400</v>
      </c>
      <c r="C128" s="89">
        <v>56</v>
      </c>
      <c r="D128" s="89">
        <v>44</v>
      </c>
      <c r="E128" s="89">
        <f>SUM(C128:D128)</f>
        <v>100</v>
      </c>
      <c r="F128" s="86"/>
      <c r="G128" s="86"/>
    </row>
    <row r="129" spans="1:7" ht="16.5" x14ac:dyDescent="0.3">
      <c r="A129" s="91"/>
      <c r="B129" s="87" t="s">
        <v>401</v>
      </c>
      <c r="C129" s="90">
        <f>+C127/C124</f>
        <v>5.0847457627118647E-2</v>
      </c>
      <c r="D129" s="90">
        <f>+D127/D124</f>
        <v>0.10204081632653061</v>
      </c>
      <c r="E129" s="90">
        <f>+E127/E124</f>
        <v>7.407407407407407E-2</v>
      </c>
      <c r="F129" s="86"/>
      <c r="G129" s="86"/>
    </row>
    <row r="130" spans="1:7" x14ac:dyDescent="0.25">
      <c r="A130" s="86"/>
      <c r="B130" s="86"/>
      <c r="C130" s="86"/>
      <c r="D130" s="86"/>
      <c r="E130" s="86"/>
      <c r="F130" s="86"/>
      <c r="G130" s="86"/>
    </row>
    <row r="131" spans="1:7" ht="16.5" x14ac:dyDescent="0.3">
      <c r="A131" s="91"/>
      <c r="B131" s="91"/>
      <c r="C131" s="91"/>
      <c r="D131" s="77"/>
      <c r="E131" s="77" t="s">
        <v>402</v>
      </c>
      <c r="F131" s="143"/>
      <c r="G131" s="77"/>
    </row>
    <row r="132" spans="1:7" ht="16.5" x14ac:dyDescent="0.3">
      <c r="A132" s="91"/>
      <c r="B132" s="91"/>
      <c r="C132" s="91"/>
      <c r="D132" s="91"/>
      <c r="E132" s="91"/>
      <c r="F132" s="86"/>
      <c r="G132" s="91"/>
    </row>
    <row r="133" spans="1:7" ht="16.5" x14ac:dyDescent="0.3">
      <c r="A133" s="303" t="s">
        <v>403</v>
      </c>
      <c r="B133" s="303"/>
      <c r="C133" s="77"/>
      <c r="D133" s="77"/>
      <c r="E133" s="77" t="s">
        <v>404</v>
      </c>
      <c r="F133" s="143"/>
      <c r="G133" s="77"/>
    </row>
    <row r="134" spans="1:7" ht="16.5" x14ac:dyDescent="0.3">
      <c r="A134" s="91"/>
      <c r="B134" s="91"/>
      <c r="C134" s="91"/>
      <c r="D134" s="91"/>
      <c r="E134" s="91"/>
      <c r="F134" s="86"/>
      <c r="G134" s="91"/>
    </row>
    <row r="135" spans="1:7" ht="16.5" x14ac:dyDescent="0.3">
      <c r="A135" s="91"/>
      <c r="B135" s="91"/>
      <c r="C135" s="91"/>
      <c r="D135" s="91"/>
      <c r="E135" s="91"/>
      <c r="F135" s="86"/>
      <c r="G135" s="91"/>
    </row>
    <row r="136" spans="1:7" ht="16.5" x14ac:dyDescent="0.3">
      <c r="A136" s="91"/>
      <c r="B136" s="91"/>
      <c r="C136" s="91"/>
      <c r="D136" s="91"/>
      <c r="E136" s="91"/>
      <c r="F136" s="86"/>
      <c r="G136" s="91"/>
    </row>
    <row r="137" spans="1:7" ht="16.5" x14ac:dyDescent="0.3">
      <c r="A137" s="303" t="s">
        <v>410</v>
      </c>
      <c r="B137" s="303"/>
      <c r="C137" s="77"/>
      <c r="D137" s="77"/>
      <c r="E137" s="77" t="s">
        <v>8</v>
      </c>
      <c r="F137" s="143"/>
      <c r="G137" s="77"/>
    </row>
  </sheetData>
  <mergeCells count="8">
    <mergeCell ref="A133:B133"/>
    <mergeCell ref="A137:B137"/>
    <mergeCell ref="C2:E2"/>
    <mergeCell ref="B5:G5"/>
    <mergeCell ref="B6:G6"/>
    <mergeCell ref="B7:G8"/>
    <mergeCell ref="B9:E9"/>
    <mergeCell ref="B121:E121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G86"/>
  <sheetViews>
    <sheetView topLeftCell="A7" workbookViewId="0">
      <selection activeCell="B7" sqref="B7:G8"/>
    </sheetView>
  </sheetViews>
  <sheetFormatPr baseColWidth="10" defaultColWidth="11.42578125" defaultRowHeight="16.5" x14ac:dyDescent="0.3"/>
  <cols>
    <col min="1" max="1" width="4.28515625" style="2" customWidth="1"/>
    <col min="2" max="2" width="37.42578125" style="4" customWidth="1"/>
    <col min="3" max="3" width="10.85546875" style="2" customWidth="1"/>
    <col min="4" max="4" width="11" style="2" customWidth="1"/>
    <col min="5" max="5" width="11.7109375" style="2" customWidth="1"/>
    <col min="6" max="16384" width="11.42578125" style="2"/>
  </cols>
  <sheetData>
    <row r="1" spans="1:7" ht="20.25" x14ac:dyDescent="0.3">
      <c r="A1" s="1" t="s">
        <v>929</v>
      </c>
      <c r="B1" s="6"/>
      <c r="C1" s="311" t="s">
        <v>5</v>
      </c>
      <c r="D1" s="311"/>
      <c r="E1" s="311"/>
    </row>
    <row r="2" spans="1:7" x14ac:dyDescent="0.3">
      <c r="A2" s="1" t="s">
        <v>930</v>
      </c>
      <c r="B2" s="6"/>
      <c r="C2" s="310" t="s">
        <v>6</v>
      </c>
      <c r="D2" s="310"/>
      <c r="E2" s="310"/>
    </row>
    <row r="3" spans="1:7" x14ac:dyDescent="0.3">
      <c r="A3" s="1" t="s">
        <v>931</v>
      </c>
      <c r="B3" s="6"/>
    </row>
    <row r="4" spans="1:7" x14ac:dyDescent="0.3">
      <c r="A4" s="1" t="s">
        <v>932</v>
      </c>
      <c r="B4" s="6"/>
      <c r="D4" s="3"/>
      <c r="E4" s="3"/>
    </row>
    <row r="5" spans="1:7" x14ac:dyDescent="0.3">
      <c r="B5" s="279" t="s">
        <v>934</v>
      </c>
      <c r="C5" s="279"/>
      <c r="D5" s="279"/>
      <c r="E5" s="279"/>
      <c r="F5" s="279"/>
      <c r="G5" s="279"/>
    </row>
    <row r="6" spans="1:7" ht="18" x14ac:dyDescent="0.3">
      <c r="B6" s="285" t="s">
        <v>416</v>
      </c>
      <c r="C6" s="285"/>
      <c r="D6" s="285"/>
      <c r="E6" s="285"/>
      <c r="F6" s="285"/>
      <c r="G6" s="285"/>
    </row>
    <row r="7" spans="1:7" ht="16.5" customHeight="1" x14ac:dyDescent="0.3">
      <c r="B7" s="280" t="s">
        <v>935</v>
      </c>
      <c r="C7" s="280"/>
      <c r="D7" s="280"/>
      <c r="E7" s="280"/>
      <c r="F7" s="280"/>
      <c r="G7" s="280"/>
    </row>
    <row r="8" spans="1:7" x14ac:dyDescent="0.3">
      <c r="B8" s="280"/>
      <c r="C8" s="280"/>
      <c r="D8" s="280"/>
      <c r="E8" s="280"/>
      <c r="F8" s="280"/>
      <c r="G8" s="280"/>
    </row>
    <row r="9" spans="1:7" x14ac:dyDescent="0.3">
      <c r="D9" s="312"/>
      <c r="E9" s="312"/>
    </row>
    <row r="10" spans="1:7" s="8" customFormat="1" ht="30" customHeight="1" x14ac:dyDescent="0.2">
      <c r="A10" s="30" t="s">
        <v>106</v>
      </c>
      <c r="B10" s="35" t="s">
        <v>0</v>
      </c>
      <c r="C10" s="35" t="s">
        <v>413</v>
      </c>
      <c r="D10" s="35" t="s">
        <v>414</v>
      </c>
      <c r="E10" s="35" t="s">
        <v>415</v>
      </c>
    </row>
    <row r="11" spans="1:7" s="5" customFormat="1" ht="18" x14ac:dyDescent="0.3">
      <c r="A11" s="48" t="s">
        <v>211</v>
      </c>
      <c r="B11" s="206" t="s">
        <v>745</v>
      </c>
      <c r="C11" s="32">
        <v>15.181818181818182</v>
      </c>
      <c r="D11" s="32">
        <v>15.090909090909092</v>
      </c>
      <c r="E11" s="211">
        <v>15.121212121212123</v>
      </c>
    </row>
    <row r="12" spans="1:7" s="5" customFormat="1" ht="18" x14ac:dyDescent="0.3">
      <c r="A12" s="48" t="s">
        <v>212</v>
      </c>
      <c r="B12" s="206" t="s">
        <v>722</v>
      </c>
      <c r="C12" s="32">
        <v>15.090909090909092</v>
      </c>
      <c r="D12" s="32">
        <v>14.818181818181818</v>
      </c>
      <c r="E12" s="211">
        <v>14.909090909090908</v>
      </c>
    </row>
    <row r="13" spans="1:7" s="11" customFormat="1" ht="18" x14ac:dyDescent="0.3">
      <c r="A13" s="48" t="s">
        <v>213</v>
      </c>
      <c r="B13" s="206" t="s">
        <v>735</v>
      </c>
      <c r="C13" s="32">
        <v>14.636363636363637</v>
      </c>
      <c r="D13" s="32">
        <v>14.772727272727273</v>
      </c>
      <c r="E13" s="211">
        <v>14.727272727272728</v>
      </c>
    </row>
    <row r="14" spans="1:7" s="5" customFormat="1" ht="20.45" customHeight="1" x14ac:dyDescent="0.3">
      <c r="A14" s="48" t="s">
        <v>214</v>
      </c>
      <c r="B14" s="206" t="s">
        <v>718</v>
      </c>
      <c r="C14" s="32">
        <v>15.272727272727273</v>
      </c>
      <c r="D14" s="32">
        <v>14.409090909090908</v>
      </c>
      <c r="E14" s="211">
        <v>14.696969696969697</v>
      </c>
    </row>
    <row r="15" spans="1:7" s="5" customFormat="1" ht="18" x14ac:dyDescent="0.3">
      <c r="A15" s="48" t="s">
        <v>215</v>
      </c>
      <c r="B15" s="206" t="s">
        <v>725</v>
      </c>
      <c r="C15" s="32">
        <v>15.090909090909092</v>
      </c>
      <c r="D15" s="32">
        <v>14.409090909090908</v>
      </c>
      <c r="E15" s="211">
        <v>14.636363636363635</v>
      </c>
    </row>
    <row r="16" spans="1:7" s="11" customFormat="1" ht="26.45" customHeight="1" x14ac:dyDescent="0.3">
      <c r="A16" s="48" t="s">
        <v>216</v>
      </c>
      <c r="B16" s="206" t="s">
        <v>742</v>
      </c>
      <c r="C16" s="32">
        <v>14.818181818181818</v>
      </c>
      <c r="D16" s="32">
        <v>14.181818181818182</v>
      </c>
      <c r="E16" s="211">
        <v>14.393939393939393</v>
      </c>
    </row>
    <row r="17" spans="1:5" s="5" customFormat="1" ht="22.9" customHeight="1" x14ac:dyDescent="0.3">
      <c r="A17" s="48" t="s">
        <v>217</v>
      </c>
      <c r="B17" s="23" t="s">
        <v>874</v>
      </c>
      <c r="C17" s="60">
        <v>14.181818181818182</v>
      </c>
      <c r="D17" s="60">
        <v>13.772727272727273</v>
      </c>
      <c r="E17" s="60">
        <v>13.909090909090908</v>
      </c>
    </row>
    <row r="18" spans="1:5" s="5" customFormat="1" ht="18" x14ac:dyDescent="0.3">
      <c r="A18" s="48" t="s">
        <v>218</v>
      </c>
      <c r="B18" s="206" t="s">
        <v>743</v>
      </c>
      <c r="C18" s="32">
        <v>13.727272727272727</v>
      </c>
      <c r="D18" s="32">
        <v>13.363636363636363</v>
      </c>
      <c r="E18" s="211">
        <v>13.484848484848484</v>
      </c>
    </row>
    <row r="19" spans="1:5" s="5" customFormat="1" ht="18" x14ac:dyDescent="0.3">
      <c r="A19" s="48" t="s">
        <v>219</v>
      </c>
      <c r="B19" s="206" t="s">
        <v>716</v>
      </c>
      <c r="C19" s="32">
        <v>13.272727272727273</v>
      </c>
      <c r="D19" s="32">
        <v>13.545454545454545</v>
      </c>
      <c r="E19" s="211">
        <v>13.454545454545453</v>
      </c>
    </row>
    <row r="20" spans="1:5" s="5" customFormat="1" ht="18" x14ac:dyDescent="0.3">
      <c r="A20" s="48" t="s">
        <v>220</v>
      </c>
      <c r="B20" s="206" t="s">
        <v>740</v>
      </c>
      <c r="C20" s="32">
        <v>12.727272727272727</v>
      </c>
      <c r="D20" s="32">
        <v>13</v>
      </c>
      <c r="E20" s="211">
        <v>12.909090909090908</v>
      </c>
    </row>
    <row r="21" spans="1:5" s="5" customFormat="1" ht="18" x14ac:dyDescent="0.3">
      <c r="A21" s="48" t="s">
        <v>221</v>
      </c>
      <c r="B21" s="206" t="s">
        <v>729</v>
      </c>
      <c r="C21" s="32">
        <v>14.181818181818182</v>
      </c>
      <c r="D21" s="32">
        <v>12.136363636363637</v>
      </c>
      <c r="E21" s="211">
        <v>12.818181818181818</v>
      </c>
    </row>
    <row r="22" spans="1:5" s="5" customFormat="1" ht="18" x14ac:dyDescent="0.3">
      <c r="A22" s="48" t="s">
        <v>222</v>
      </c>
      <c r="B22" s="206" t="s">
        <v>737</v>
      </c>
      <c r="C22" s="32">
        <v>13.363636363636363</v>
      </c>
      <c r="D22" s="32">
        <v>11.913043478260869</v>
      </c>
      <c r="E22" s="211">
        <v>12.396574440052701</v>
      </c>
    </row>
    <row r="23" spans="1:5" s="5" customFormat="1" ht="21" customHeight="1" x14ac:dyDescent="0.3">
      <c r="A23" s="48" t="s">
        <v>223</v>
      </c>
      <c r="B23" s="206" t="s">
        <v>741</v>
      </c>
      <c r="C23" s="32">
        <v>12.545454545454545</v>
      </c>
      <c r="D23" s="32">
        <v>12.318181818181818</v>
      </c>
      <c r="E23" s="245">
        <v>12.393939393939393</v>
      </c>
    </row>
    <row r="24" spans="1:5" s="5" customFormat="1" ht="16.5" customHeight="1" x14ac:dyDescent="0.3">
      <c r="A24" s="48" t="s">
        <v>224</v>
      </c>
      <c r="B24" s="206" t="s">
        <v>720</v>
      </c>
      <c r="C24" s="32">
        <v>13.363636363636363</v>
      </c>
      <c r="D24" s="32">
        <v>11.818181818181818</v>
      </c>
      <c r="E24" s="211">
        <v>12.333333333333334</v>
      </c>
    </row>
    <row r="25" spans="1:5" s="5" customFormat="1" ht="18" x14ac:dyDescent="0.3">
      <c r="A25" s="48" t="s">
        <v>225</v>
      </c>
      <c r="B25" s="206" t="s">
        <v>726</v>
      </c>
      <c r="C25" s="32">
        <v>12.454545454545455</v>
      </c>
      <c r="D25" s="32">
        <v>11.090909090909092</v>
      </c>
      <c r="E25" s="211">
        <v>11.545454545454547</v>
      </c>
    </row>
    <row r="26" spans="1:5" s="5" customFormat="1" ht="18" x14ac:dyDescent="0.3">
      <c r="A26" s="48" t="s">
        <v>226</v>
      </c>
      <c r="B26" s="206" t="s">
        <v>736</v>
      </c>
      <c r="C26" s="32">
        <v>13.636363636363637</v>
      </c>
      <c r="D26" s="32">
        <v>10.130434782608695</v>
      </c>
      <c r="E26" s="211">
        <v>11.299077733860344</v>
      </c>
    </row>
    <row r="27" spans="1:5" s="5" customFormat="1" ht="18" x14ac:dyDescent="0.3">
      <c r="A27" s="48" t="s">
        <v>227</v>
      </c>
      <c r="B27" s="206" t="s">
        <v>738</v>
      </c>
      <c r="C27" s="32">
        <v>11.636363636363637</v>
      </c>
      <c r="D27" s="32">
        <v>10.863636363636363</v>
      </c>
      <c r="E27" s="211">
        <v>11.121212121212119</v>
      </c>
    </row>
    <row r="28" spans="1:5" s="5" customFormat="1" ht="18" x14ac:dyDescent="0.3">
      <c r="A28" s="48" t="s">
        <v>228</v>
      </c>
      <c r="B28" s="206" t="s">
        <v>731</v>
      </c>
      <c r="C28" s="32">
        <v>12</v>
      </c>
      <c r="D28" s="32">
        <v>10.045454545454545</v>
      </c>
      <c r="E28" s="211">
        <v>10.696969696969697</v>
      </c>
    </row>
    <row r="29" spans="1:5" s="5" customFormat="1" ht="18" x14ac:dyDescent="0.3">
      <c r="A29" s="48" t="s">
        <v>229</v>
      </c>
      <c r="B29" s="206" t="s">
        <v>732</v>
      </c>
      <c r="C29" s="32">
        <v>12</v>
      </c>
      <c r="D29" s="32">
        <v>10.045454545454545</v>
      </c>
      <c r="E29" s="211">
        <v>10.696969696969697</v>
      </c>
    </row>
    <row r="30" spans="1:5" s="5" customFormat="1" ht="18" x14ac:dyDescent="0.3">
      <c r="A30" s="48" t="s">
        <v>230</v>
      </c>
      <c r="B30" s="206" t="s">
        <v>730</v>
      </c>
      <c r="C30" s="32">
        <v>12.545454545454545</v>
      </c>
      <c r="D30" s="32">
        <v>9.4347826086956523</v>
      </c>
      <c r="E30" s="211">
        <v>10.471673254281951</v>
      </c>
    </row>
    <row r="31" spans="1:5" s="5" customFormat="1" ht="18" x14ac:dyDescent="0.3">
      <c r="A31" s="48" t="s">
        <v>315</v>
      </c>
      <c r="B31" s="206" t="s">
        <v>744</v>
      </c>
      <c r="C31" s="32">
        <v>11.454545454545455</v>
      </c>
      <c r="D31" s="32">
        <v>9.6363636363636367</v>
      </c>
      <c r="E31" s="211">
        <v>10.242424242424242</v>
      </c>
    </row>
    <row r="32" spans="1:5" s="5" customFormat="1" ht="18" x14ac:dyDescent="0.3">
      <c r="A32" s="48" t="s">
        <v>232</v>
      </c>
      <c r="B32" s="206" t="s">
        <v>873</v>
      </c>
      <c r="C32" s="32">
        <v>12.090909090909092</v>
      </c>
      <c r="D32" s="32">
        <v>9.2272727272727266</v>
      </c>
      <c r="E32" s="211">
        <v>10.181818181818182</v>
      </c>
    </row>
    <row r="33" spans="1:7" s="5" customFormat="1" ht="18" x14ac:dyDescent="0.3">
      <c r="A33" s="48" t="s">
        <v>233</v>
      </c>
      <c r="B33" s="206" t="s">
        <v>746</v>
      </c>
      <c r="C33" s="32">
        <v>12.818181818181818</v>
      </c>
      <c r="D33" s="32">
        <v>8.7727272727272734</v>
      </c>
      <c r="E33" s="245">
        <v>10.121212121212123</v>
      </c>
    </row>
    <row r="34" spans="1:7" s="5" customFormat="1" ht="18" x14ac:dyDescent="0.3">
      <c r="A34" s="48" t="s">
        <v>234</v>
      </c>
      <c r="B34" s="206" t="s">
        <v>728</v>
      </c>
      <c r="C34" s="32">
        <v>10.454545454545455</v>
      </c>
      <c r="D34" s="32">
        <v>9.9090909090909083</v>
      </c>
      <c r="E34" s="211">
        <v>10.090909090909092</v>
      </c>
    </row>
    <row r="35" spans="1:7" s="5" customFormat="1" ht="18" x14ac:dyDescent="0.3">
      <c r="A35" s="48" t="s">
        <v>235</v>
      </c>
      <c r="B35" s="206" t="s">
        <v>739</v>
      </c>
      <c r="C35" s="32">
        <v>10.454545454545455</v>
      </c>
      <c r="D35" s="32">
        <v>9.9090909090909083</v>
      </c>
      <c r="E35" s="211">
        <v>10.090909090909092</v>
      </c>
    </row>
    <row r="36" spans="1:7" s="5" customFormat="1" ht="21" customHeight="1" x14ac:dyDescent="0.3">
      <c r="A36" s="48" t="s">
        <v>236</v>
      </c>
      <c r="B36" s="206" t="s">
        <v>719</v>
      </c>
      <c r="C36" s="32">
        <v>11.545454545454545</v>
      </c>
      <c r="D36" s="32">
        <v>9.2727272727272734</v>
      </c>
      <c r="E36" s="211">
        <v>10.030303030303031</v>
      </c>
    </row>
    <row r="37" spans="1:7" s="5" customFormat="1" ht="18" x14ac:dyDescent="0.3">
      <c r="A37" s="48" t="s">
        <v>237</v>
      </c>
      <c r="B37" s="206" t="s">
        <v>733</v>
      </c>
      <c r="C37" s="32">
        <v>11.909090909090908</v>
      </c>
      <c r="D37" s="32">
        <v>9</v>
      </c>
      <c r="E37" s="211">
        <v>9.9696969696969688</v>
      </c>
    </row>
    <row r="38" spans="1:7" s="5" customFormat="1" ht="18" x14ac:dyDescent="0.3">
      <c r="A38" s="48" t="s">
        <v>238</v>
      </c>
      <c r="B38" s="206" t="s">
        <v>724</v>
      </c>
      <c r="C38" s="32">
        <v>11.636363636363637</v>
      </c>
      <c r="D38" s="32">
        <v>8.7272727272727266</v>
      </c>
      <c r="E38" s="211">
        <v>9.6969696969696972</v>
      </c>
    </row>
    <row r="39" spans="1:7" s="5" customFormat="1" ht="18" x14ac:dyDescent="0.3">
      <c r="A39" s="48" t="s">
        <v>239</v>
      </c>
      <c r="B39" s="206" t="s">
        <v>721</v>
      </c>
      <c r="C39" s="32">
        <v>12.090909090909092</v>
      </c>
      <c r="D39" s="32">
        <v>8.3181818181818183</v>
      </c>
      <c r="E39" s="211">
        <v>9.5757575757575761</v>
      </c>
    </row>
    <row r="40" spans="1:7" s="5" customFormat="1" ht="18" x14ac:dyDescent="0.3">
      <c r="A40" s="10" t="s">
        <v>240</v>
      </c>
      <c r="B40" s="206" t="s">
        <v>723</v>
      </c>
      <c r="C40" s="32">
        <v>11.545454545454545</v>
      </c>
      <c r="D40" s="32">
        <v>8.2272727272727266</v>
      </c>
      <c r="E40" s="211">
        <v>9.3333333333333339</v>
      </c>
    </row>
    <row r="41" spans="1:7" s="5" customFormat="1" ht="18" x14ac:dyDescent="0.3">
      <c r="A41" s="10" t="s">
        <v>314</v>
      </c>
      <c r="B41" s="206" t="s">
        <v>734</v>
      </c>
      <c r="C41" s="32">
        <v>9.9090909090909083</v>
      </c>
      <c r="D41" s="32">
        <v>8.2272727272727266</v>
      </c>
      <c r="E41" s="211">
        <v>8.7878787878787872</v>
      </c>
    </row>
    <row r="42" spans="1:7" s="5" customFormat="1" ht="18" x14ac:dyDescent="0.3">
      <c r="A42" s="10" t="s">
        <v>242</v>
      </c>
      <c r="B42" s="202" t="s">
        <v>715</v>
      </c>
      <c r="C42" s="32">
        <v>9.6363636363636367</v>
      </c>
      <c r="D42" s="32">
        <v>7.5</v>
      </c>
      <c r="E42" s="211">
        <v>8.2121212121212128</v>
      </c>
    </row>
    <row r="43" spans="1:7" s="5" customFormat="1" ht="18" x14ac:dyDescent="0.3">
      <c r="A43" s="10" t="s">
        <v>243</v>
      </c>
      <c r="B43" s="206" t="s">
        <v>727</v>
      </c>
      <c r="C43" s="32">
        <v>10.545454545454545</v>
      </c>
      <c r="D43" s="32">
        <v>6.6363636363636367</v>
      </c>
      <c r="E43" s="211">
        <v>7.9393939393939403</v>
      </c>
    </row>
    <row r="44" spans="1:7" s="5" customFormat="1" ht="18" x14ac:dyDescent="0.2">
      <c r="A44" s="23">
        <v>34</v>
      </c>
      <c r="B44" s="206" t="s">
        <v>717</v>
      </c>
      <c r="C44" s="32">
        <v>10</v>
      </c>
      <c r="D44" s="32">
        <v>6</v>
      </c>
      <c r="E44" s="211">
        <v>7.333333333333333</v>
      </c>
    </row>
    <row r="45" spans="1:7" s="5" customFormat="1" ht="12.75" x14ac:dyDescent="0.2"/>
    <row r="46" spans="1:7" s="5" customFormat="1" x14ac:dyDescent="0.3">
      <c r="B46" s="2"/>
      <c r="C46" s="281" t="s">
        <v>392</v>
      </c>
      <c r="D46" s="281"/>
      <c r="E46" s="281"/>
      <c r="F46" s="281"/>
      <c r="G46"/>
    </row>
    <row r="47" spans="1:7" s="5" customFormat="1" x14ac:dyDescent="0.3">
      <c r="B47" s="2"/>
      <c r="C47" s="2"/>
      <c r="D47" s="2"/>
      <c r="E47" s="2"/>
      <c r="F47" s="2"/>
      <c r="G47"/>
    </row>
    <row r="48" spans="1:7" s="5" customFormat="1" x14ac:dyDescent="0.3">
      <c r="B48" s="2"/>
      <c r="C48" s="2"/>
      <c r="D48" s="47" t="s">
        <v>393</v>
      </c>
      <c r="E48" s="47" t="s">
        <v>394</v>
      </c>
      <c r="F48" s="47" t="s">
        <v>395</v>
      </c>
      <c r="G48"/>
    </row>
    <row r="49" spans="2:7" s="5" customFormat="1" x14ac:dyDescent="0.3">
      <c r="B49" s="2"/>
      <c r="C49" s="48" t="s">
        <v>396</v>
      </c>
      <c r="D49" s="49">
        <v>19</v>
      </c>
      <c r="E49" s="49">
        <v>15</v>
      </c>
      <c r="F49" s="49">
        <v>34</v>
      </c>
      <c r="G49"/>
    </row>
    <row r="50" spans="2:7" s="5" customFormat="1" x14ac:dyDescent="0.3">
      <c r="B50" s="2"/>
      <c r="C50" s="10" t="s">
        <v>397</v>
      </c>
      <c r="D50" s="49">
        <v>19</v>
      </c>
      <c r="E50" s="49">
        <v>15</v>
      </c>
      <c r="F50" s="49">
        <v>34</v>
      </c>
      <c r="G50"/>
    </row>
    <row r="51" spans="2:7" s="5" customFormat="1" x14ac:dyDescent="0.3">
      <c r="B51" s="2"/>
      <c r="C51" s="10" t="s">
        <v>398</v>
      </c>
      <c r="D51" s="49">
        <v>0</v>
      </c>
      <c r="E51" s="49">
        <v>0</v>
      </c>
      <c r="F51" s="49">
        <v>0</v>
      </c>
      <c r="G51"/>
    </row>
    <row r="52" spans="2:7" s="5" customFormat="1" x14ac:dyDescent="0.3">
      <c r="B52" s="2"/>
      <c r="C52" s="10" t="s">
        <v>399</v>
      </c>
      <c r="D52" s="49">
        <v>17</v>
      </c>
      <c r="E52" s="49">
        <v>9</v>
      </c>
      <c r="F52" s="49">
        <v>26</v>
      </c>
      <c r="G52"/>
    </row>
    <row r="53" spans="2:7" s="5" customFormat="1" x14ac:dyDescent="0.3">
      <c r="B53" s="2"/>
      <c r="C53" s="10" t="s">
        <v>400</v>
      </c>
      <c r="D53" s="49">
        <v>2</v>
      </c>
      <c r="E53" s="49">
        <v>6</v>
      </c>
      <c r="F53" s="49">
        <v>8</v>
      </c>
      <c r="G53"/>
    </row>
    <row r="54" spans="2:7" s="5" customFormat="1" x14ac:dyDescent="0.3">
      <c r="B54" s="2"/>
      <c r="C54" s="10" t="s">
        <v>401</v>
      </c>
      <c r="D54" s="50">
        <f>+D52/D49</f>
        <v>0.89473684210526316</v>
      </c>
      <c r="E54" s="50">
        <f>+E52/E49</f>
        <v>0.6</v>
      </c>
      <c r="F54" s="50">
        <f>+F52/F49</f>
        <v>0.76470588235294112</v>
      </c>
      <c r="G54"/>
    </row>
    <row r="55" spans="2:7" s="5" customFormat="1" ht="15" x14ac:dyDescent="0.25">
      <c r="B55"/>
      <c r="C55"/>
      <c r="D55"/>
      <c r="E55"/>
      <c r="F55"/>
      <c r="G55"/>
    </row>
    <row r="56" spans="2:7" s="5" customFormat="1" x14ac:dyDescent="0.3">
      <c r="B56" s="2"/>
      <c r="C56" s="2"/>
      <c r="D56" s="2"/>
      <c r="E56" s="15"/>
      <c r="F56" s="199"/>
      <c r="G56" s="53"/>
    </row>
    <row r="57" spans="2:7" s="5" customFormat="1" x14ac:dyDescent="0.3">
      <c r="B57" s="2"/>
      <c r="C57" s="2"/>
      <c r="D57" s="2"/>
      <c r="E57" s="2"/>
      <c r="F57" s="2"/>
      <c r="G57"/>
    </row>
    <row r="58" spans="2:7" s="5" customFormat="1" x14ac:dyDescent="0.3">
      <c r="B58" s="285"/>
      <c r="C58" s="285"/>
      <c r="D58" s="15"/>
      <c r="E58" s="15"/>
      <c r="F58" s="199"/>
      <c r="G58" s="53"/>
    </row>
    <row r="59" spans="2:7" s="5" customFormat="1" x14ac:dyDescent="0.3">
      <c r="B59" s="2"/>
      <c r="C59" s="2"/>
      <c r="D59" s="2"/>
      <c r="E59" s="2"/>
      <c r="F59" s="2"/>
      <c r="G59"/>
    </row>
    <row r="60" spans="2:7" s="5" customFormat="1" x14ac:dyDescent="0.3">
      <c r="B60" s="2"/>
      <c r="C60" s="2"/>
      <c r="D60" s="15" t="s">
        <v>925</v>
      </c>
      <c r="E60" s="241"/>
      <c r="F60" s="53"/>
      <c r="G60"/>
    </row>
    <row r="61" spans="2:7" s="5" customFormat="1" x14ac:dyDescent="0.3">
      <c r="B61" s="2"/>
      <c r="C61" s="2"/>
      <c r="D61" s="2"/>
      <c r="E61" s="2"/>
      <c r="F61" s="2"/>
      <c r="G61"/>
    </row>
    <row r="62" spans="2:7" s="5" customFormat="1" ht="18.75" x14ac:dyDescent="0.3">
      <c r="B62" s="285" t="s">
        <v>921</v>
      </c>
      <c r="C62" s="285"/>
      <c r="D62" s="15"/>
      <c r="E62" s="244" t="s">
        <v>404</v>
      </c>
      <c r="F62" s="15"/>
      <c r="G62" s="53"/>
    </row>
    <row r="63" spans="2:7" s="5" customFormat="1" x14ac:dyDescent="0.3">
      <c r="B63" s="15"/>
      <c r="C63" s="15"/>
      <c r="D63" s="15"/>
      <c r="E63" s="15"/>
      <c r="F63" s="15"/>
    </row>
    <row r="64" spans="2:7" s="5" customFormat="1" x14ac:dyDescent="0.3">
      <c r="B64" s="15"/>
      <c r="C64" s="15"/>
      <c r="D64" s="15"/>
      <c r="E64" s="15"/>
      <c r="F64" s="15"/>
    </row>
    <row r="65" spans="1:6" s="5" customFormat="1" ht="12.75" x14ac:dyDescent="0.2"/>
    <row r="66" spans="1:6" s="5" customFormat="1" ht="12.75" x14ac:dyDescent="0.2"/>
    <row r="67" spans="1:6" s="5" customFormat="1" x14ac:dyDescent="0.3">
      <c r="B67" s="285" t="s">
        <v>922</v>
      </c>
      <c r="C67" s="285"/>
      <c r="D67" s="15"/>
      <c r="E67" s="15" t="s">
        <v>8</v>
      </c>
      <c r="F67" s="15"/>
    </row>
    <row r="68" spans="1:6" s="5" customFormat="1" ht="12.75" x14ac:dyDescent="0.2"/>
    <row r="69" spans="1:6" s="5" customFormat="1" ht="12.75" x14ac:dyDescent="0.2"/>
    <row r="70" spans="1:6" s="5" customFormat="1" ht="15" x14ac:dyDescent="0.25">
      <c r="A70"/>
      <c r="B70"/>
    </row>
    <row r="71" spans="1:6" s="5" customFormat="1" ht="15" x14ac:dyDescent="0.25">
      <c r="A71"/>
      <c r="B71"/>
    </row>
    <row r="72" spans="1:6" s="5" customFormat="1" ht="15" x14ac:dyDescent="0.25">
      <c r="A72"/>
      <c r="B72"/>
    </row>
    <row r="73" spans="1:6" x14ac:dyDescent="0.3">
      <c r="A73"/>
      <c r="B73"/>
    </row>
    <row r="74" spans="1:6" x14ac:dyDescent="0.3">
      <c r="A74"/>
      <c r="B74"/>
    </row>
    <row r="75" spans="1:6" x14ac:dyDescent="0.3">
      <c r="A75"/>
      <c r="B75"/>
    </row>
    <row r="76" spans="1:6" x14ac:dyDescent="0.3">
      <c r="A76"/>
      <c r="B76"/>
    </row>
    <row r="77" spans="1:6" x14ac:dyDescent="0.3">
      <c r="A77"/>
      <c r="B77"/>
    </row>
    <row r="78" spans="1:6" x14ac:dyDescent="0.3">
      <c r="A78"/>
      <c r="B78"/>
    </row>
    <row r="79" spans="1:6" x14ac:dyDescent="0.3">
      <c r="A79"/>
      <c r="B79"/>
    </row>
    <row r="80" spans="1:6" x14ac:dyDescent="0.3">
      <c r="A80" s="34"/>
      <c r="B80" s="53"/>
    </row>
    <row r="81" spans="1:2" x14ac:dyDescent="0.3">
      <c r="B81"/>
    </row>
    <row r="82" spans="1:2" x14ac:dyDescent="0.3">
      <c r="A82" s="34"/>
      <c r="B82" s="53"/>
    </row>
    <row r="83" spans="1:2" x14ac:dyDescent="0.3">
      <c r="B83"/>
    </row>
    <row r="84" spans="1:2" x14ac:dyDescent="0.3">
      <c r="B84"/>
    </row>
    <row r="85" spans="1:2" x14ac:dyDescent="0.3">
      <c r="B85"/>
    </row>
    <row r="86" spans="1:2" x14ac:dyDescent="0.3">
      <c r="A86" s="34"/>
      <c r="B86" s="53"/>
    </row>
  </sheetData>
  <sortState ref="B11:E44">
    <sortCondition descending="1" ref="E11:E44"/>
  </sortState>
  <mergeCells count="10">
    <mergeCell ref="B67:C67"/>
    <mergeCell ref="C46:F46"/>
    <mergeCell ref="B58:C58"/>
    <mergeCell ref="B62:C62"/>
    <mergeCell ref="C1:E1"/>
    <mergeCell ref="C2:E2"/>
    <mergeCell ref="D9:E9"/>
    <mergeCell ref="B5:G5"/>
    <mergeCell ref="B6:G6"/>
    <mergeCell ref="B7:G8"/>
  </mergeCells>
  <printOptions horizontalCentered="1"/>
  <pageMargins left="0.19685039370078741" right="0.15748031496062992" top="0.74803149606299213" bottom="0.74803149606299213" header="0.31496062992125984" footer="0.31496062992125984"/>
  <pageSetup paperSize="9" scale="95" orientation="portrait" r:id="rId1"/>
  <headerFooter>
    <oddFooter>&amp;LGSP MOH-CA / 11ème Année SS&amp;R&amp;P/&amp;N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G87"/>
  <sheetViews>
    <sheetView workbookViewId="0">
      <selection activeCell="B11" sqref="B11:B35"/>
    </sheetView>
  </sheetViews>
  <sheetFormatPr baseColWidth="10" defaultRowHeight="15" x14ac:dyDescent="0.25"/>
  <cols>
    <col min="1" max="1" width="5.42578125" customWidth="1"/>
    <col min="2" max="2" width="31" customWidth="1"/>
    <col min="4" max="4" width="13.28515625" customWidth="1"/>
    <col min="5" max="5" width="14.42578125" customWidth="1"/>
  </cols>
  <sheetData>
    <row r="1" spans="1:7" ht="20.25" x14ac:dyDescent="0.3">
      <c r="A1" s="74" t="s">
        <v>1</v>
      </c>
      <c r="B1" s="91"/>
      <c r="C1" s="313" t="s">
        <v>5</v>
      </c>
      <c r="D1" s="313"/>
      <c r="E1" s="313"/>
      <c r="F1" s="91"/>
      <c r="G1" s="91"/>
    </row>
    <row r="2" spans="1:7" ht="16.5" x14ac:dyDescent="0.3">
      <c r="A2" s="74" t="s">
        <v>2</v>
      </c>
      <c r="B2" s="91"/>
      <c r="C2" s="302" t="s">
        <v>6</v>
      </c>
      <c r="D2" s="302"/>
      <c r="E2" s="302"/>
      <c r="F2" s="91"/>
      <c r="G2" s="91"/>
    </row>
    <row r="3" spans="1:7" ht="16.5" x14ac:dyDescent="0.3">
      <c r="A3" s="74" t="s">
        <v>3</v>
      </c>
      <c r="B3" s="91"/>
      <c r="C3" s="91"/>
      <c r="D3" s="91"/>
      <c r="E3" s="91"/>
      <c r="F3" s="91"/>
      <c r="G3" s="91"/>
    </row>
    <row r="4" spans="1:7" ht="16.5" x14ac:dyDescent="0.3">
      <c r="A4" s="74" t="s">
        <v>4</v>
      </c>
      <c r="B4" s="91"/>
      <c r="C4" s="91"/>
      <c r="D4" s="120"/>
      <c r="E4" s="120"/>
      <c r="F4" s="91"/>
      <c r="G4" s="91"/>
    </row>
    <row r="5" spans="1:7" ht="18" x14ac:dyDescent="0.3">
      <c r="A5" s="91"/>
      <c r="B5" s="303" t="s">
        <v>447</v>
      </c>
      <c r="C5" s="303"/>
      <c r="D5" s="303"/>
      <c r="E5" s="303"/>
      <c r="F5" s="303"/>
      <c r="G5" s="303"/>
    </row>
    <row r="6" spans="1:7" ht="18" x14ac:dyDescent="0.3">
      <c r="A6" s="91"/>
      <c r="B6" s="303" t="s">
        <v>416</v>
      </c>
      <c r="C6" s="303"/>
      <c r="D6" s="303"/>
      <c r="E6" s="303"/>
      <c r="F6" s="303"/>
      <c r="G6" s="303"/>
    </row>
    <row r="7" spans="1:7" ht="16.5" x14ac:dyDescent="0.3">
      <c r="A7" s="91"/>
      <c r="B7" s="304" t="s">
        <v>455</v>
      </c>
      <c r="C7" s="304"/>
      <c r="D7" s="304"/>
      <c r="E7" s="304"/>
      <c r="F7" s="304"/>
      <c r="G7" s="304"/>
    </row>
    <row r="8" spans="1:7" ht="16.5" x14ac:dyDescent="0.3">
      <c r="A8" s="91"/>
      <c r="B8" s="304"/>
      <c r="C8" s="304"/>
      <c r="D8" s="304"/>
      <c r="E8" s="304"/>
      <c r="F8" s="304"/>
      <c r="G8" s="304"/>
    </row>
    <row r="9" spans="1:7" ht="16.5" x14ac:dyDescent="0.3">
      <c r="A9" s="91"/>
      <c r="B9" s="85"/>
      <c r="C9" s="91"/>
      <c r="D9" s="314"/>
      <c r="E9" s="314"/>
      <c r="F9" s="91"/>
      <c r="G9" s="91"/>
    </row>
    <row r="10" spans="1:7" ht="38.25" x14ac:dyDescent="0.25">
      <c r="A10" s="122" t="s">
        <v>106</v>
      </c>
      <c r="B10" s="123" t="s">
        <v>0</v>
      </c>
      <c r="C10" s="123" t="s">
        <v>413</v>
      </c>
      <c r="D10" s="123" t="s">
        <v>414</v>
      </c>
      <c r="E10" s="123" t="s">
        <v>456</v>
      </c>
      <c r="F10" s="79"/>
      <c r="G10" s="79"/>
    </row>
    <row r="11" spans="1:7" ht="18" x14ac:dyDescent="0.3">
      <c r="A11" s="87" t="s">
        <v>211</v>
      </c>
      <c r="B11" s="9"/>
      <c r="C11" s="155"/>
      <c r="D11" s="155"/>
      <c r="E11" s="156">
        <f t="shared" ref="E11:E66" si="0">+(D11*2+C11)/3</f>
        <v>0</v>
      </c>
      <c r="F11" s="84"/>
      <c r="G11" s="84"/>
    </row>
    <row r="12" spans="1:7" ht="18" x14ac:dyDescent="0.3">
      <c r="A12" s="87" t="s">
        <v>212</v>
      </c>
      <c r="B12" s="9"/>
      <c r="C12" s="155"/>
      <c r="D12" s="155"/>
      <c r="E12" s="156">
        <f t="shared" si="0"/>
        <v>0</v>
      </c>
      <c r="F12" s="84"/>
      <c r="G12" s="84"/>
    </row>
    <row r="13" spans="1:7" ht="18" x14ac:dyDescent="0.3">
      <c r="A13" s="87" t="s">
        <v>213</v>
      </c>
      <c r="B13" s="9"/>
      <c r="C13" s="155"/>
      <c r="D13" s="155"/>
      <c r="E13" s="156">
        <f t="shared" si="0"/>
        <v>0</v>
      </c>
      <c r="F13" s="127"/>
      <c r="G13" s="127"/>
    </row>
    <row r="14" spans="1:7" ht="18" x14ac:dyDescent="0.3">
      <c r="A14" s="87" t="s">
        <v>214</v>
      </c>
      <c r="B14" s="9"/>
      <c r="C14" s="155"/>
      <c r="D14" s="155"/>
      <c r="E14" s="156">
        <f t="shared" si="0"/>
        <v>0</v>
      </c>
      <c r="F14" s="84"/>
      <c r="G14" s="84"/>
    </row>
    <row r="15" spans="1:7" ht="18" x14ac:dyDescent="0.3">
      <c r="A15" s="87" t="s">
        <v>215</v>
      </c>
      <c r="B15" s="9"/>
      <c r="C15" s="155"/>
      <c r="D15" s="155"/>
      <c r="E15" s="156">
        <f t="shared" si="0"/>
        <v>0</v>
      </c>
      <c r="F15" s="84"/>
      <c r="G15" s="84"/>
    </row>
    <row r="16" spans="1:7" ht="18" x14ac:dyDescent="0.3">
      <c r="A16" s="87" t="s">
        <v>216</v>
      </c>
      <c r="B16" s="9"/>
      <c r="C16" s="155"/>
      <c r="D16" s="155"/>
      <c r="E16" s="156">
        <f t="shared" si="0"/>
        <v>0</v>
      </c>
      <c r="F16" s="127"/>
      <c r="G16" s="127"/>
    </row>
    <row r="17" spans="1:7" ht="18" x14ac:dyDescent="0.3">
      <c r="A17" s="87" t="s">
        <v>217</v>
      </c>
      <c r="B17" s="9"/>
      <c r="C17" s="155"/>
      <c r="D17" s="155"/>
      <c r="E17" s="156">
        <f t="shared" si="0"/>
        <v>0</v>
      </c>
      <c r="F17" s="84"/>
      <c r="G17" s="84"/>
    </row>
    <row r="18" spans="1:7" ht="18" x14ac:dyDescent="0.3">
      <c r="A18" s="87" t="s">
        <v>218</v>
      </c>
      <c r="B18" s="9"/>
      <c r="C18" s="155"/>
      <c r="D18" s="155"/>
      <c r="E18" s="156">
        <f t="shared" si="0"/>
        <v>0</v>
      </c>
      <c r="F18" s="84"/>
      <c r="G18" s="84"/>
    </row>
    <row r="19" spans="1:7" ht="18" x14ac:dyDescent="0.3">
      <c r="A19" s="87" t="s">
        <v>219</v>
      </c>
      <c r="B19" s="9"/>
      <c r="C19" s="155"/>
      <c r="D19" s="155"/>
      <c r="E19" s="156">
        <f t="shared" si="0"/>
        <v>0</v>
      </c>
      <c r="F19" s="84"/>
      <c r="G19" s="84"/>
    </row>
    <row r="20" spans="1:7" ht="18" x14ac:dyDescent="0.3">
      <c r="A20" s="87" t="s">
        <v>220</v>
      </c>
      <c r="B20" s="9"/>
      <c r="C20" s="155"/>
      <c r="D20" s="155"/>
      <c r="E20" s="156">
        <f t="shared" si="0"/>
        <v>0</v>
      </c>
      <c r="F20" s="84"/>
      <c r="G20" s="84"/>
    </row>
    <row r="21" spans="1:7" ht="18" x14ac:dyDescent="0.3">
      <c r="A21" s="87" t="s">
        <v>221</v>
      </c>
      <c r="B21" s="9"/>
      <c r="C21" s="155"/>
      <c r="D21" s="155"/>
      <c r="E21" s="156">
        <f t="shared" si="0"/>
        <v>0</v>
      </c>
      <c r="F21" s="84"/>
      <c r="G21" s="84"/>
    </row>
    <row r="22" spans="1:7" ht="18" x14ac:dyDescent="0.3">
      <c r="A22" s="87" t="s">
        <v>222</v>
      </c>
      <c r="B22" s="9"/>
      <c r="C22" s="155"/>
      <c r="D22" s="155"/>
      <c r="E22" s="156">
        <f t="shared" si="0"/>
        <v>0</v>
      </c>
      <c r="F22" s="84"/>
      <c r="G22" s="84"/>
    </row>
    <row r="23" spans="1:7" ht="18" x14ac:dyDescent="0.3">
      <c r="A23" s="87" t="s">
        <v>223</v>
      </c>
      <c r="B23" s="9"/>
      <c r="C23" s="155"/>
      <c r="D23" s="155"/>
      <c r="E23" s="156">
        <f t="shared" si="0"/>
        <v>0</v>
      </c>
      <c r="F23" s="84"/>
      <c r="G23" s="84"/>
    </row>
    <row r="24" spans="1:7" ht="18" x14ac:dyDescent="0.3">
      <c r="A24" s="87" t="s">
        <v>224</v>
      </c>
      <c r="B24" s="9"/>
      <c r="C24" s="155"/>
      <c r="D24" s="155"/>
      <c r="E24" s="156">
        <f t="shared" si="0"/>
        <v>0</v>
      </c>
      <c r="F24" s="84"/>
      <c r="G24" s="84"/>
    </row>
    <row r="25" spans="1:7" ht="18" x14ac:dyDescent="0.3">
      <c r="A25" s="87" t="s">
        <v>225</v>
      </c>
      <c r="B25" s="9"/>
      <c r="C25" s="111"/>
      <c r="D25" s="111"/>
      <c r="E25" s="112">
        <f t="shared" si="0"/>
        <v>0</v>
      </c>
      <c r="F25" s="84"/>
      <c r="G25" s="84"/>
    </row>
    <row r="26" spans="1:7" ht="18" x14ac:dyDescent="0.3">
      <c r="A26" s="87" t="s">
        <v>226</v>
      </c>
      <c r="B26" s="9"/>
      <c r="C26" s="155"/>
      <c r="D26" s="155"/>
      <c r="E26" s="156">
        <f t="shared" si="0"/>
        <v>0</v>
      </c>
      <c r="F26" s="84"/>
      <c r="G26" s="84"/>
    </row>
    <row r="27" spans="1:7" ht="18" x14ac:dyDescent="0.3">
      <c r="A27" s="87" t="s">
        <v>227</v>
      </c>
      <c r="B27" s="9"/>
      <c r="C27" s="155"/>
      <c r="D27" s="155"/>
      <c r="E27" s="156">
        <f t="shared" si="0"/>
        <v>0</v>
      </c>
      <c r="F27" s="84"/>
      <c r="G27" s="84"/>
    </row>
    <row r="28" spans="1:7" ht="18" x14ac:dyDescent="0.3">
      <c r="A28" s="87" t="s">
        <v>228</v>
      </c>
      <c r="B28" s="9"/>
      <c r="C28" s="155"/>
      <c r="D28" s="155"/>
      <c r="E28" s="156">
        <f t="shared" si="0"/>
        <v>0</v>
      </c>
      <c r="F28" s="84"/>
      <c r="G28" s="84"/>
    </row>
    <row r="29" spans="1:7" ht="18" x14ac:dyDescent="0.3">
      <c r="A29" s="87" t="s">
        <v>229</v>
      </c>
      <c r="B29" s="9"/>
      <c r="C29" s="155"/>
      <c r="D29" s="155"/>
      <c r="E29" s="156">
        <f t="shared" si="0"/>
        <v>0</v>
      </c>
      <c r="F29" s="84"/>
      <c r="G29" s="84"/>
    </row>
    <row r="30" spans="1:7" ht="18" x14ac:dyDescent="0.3">
      <c r="A30" s="87" t="s">
        <v>230</v>
      </c>
      <c r="B30" s="9"/>
      <c r="C30" s="155"/>
      <c r="D30" s="155"/>
      <c r="E30" s="156">
        <f t="shared" si="0"/>
        <v>0</v>
      </c>
      <c r="F30" s="84"/>
      <c r="G30" s="84"/>
    </row>
    <row r="31" spans="1:7" ht="18" x14ac:dyDescent="0.3">
      <c r="A31" s="87" t="s">
        <v>315</v>
      </c>
      <c r="B31" s="9"/>
      <c r="C31" s="155"/>
      <c r="D31" s="155"/>
      <c r="E31" s="156">
        <f t="shared" si="0"/>
        <v>0</v>
      </c>
      <c r="F31" s="84"/>
      <c r="G31" s="84"/>
    </row>
    <row r="32" spans="1:7" ht="18" x14ac:dyDescent="0.3">
      <c r="A32" s="87" t="s">
        <v>232</v>
      </c>
      <c r="B32" s="9"/>
      <c r="C32" s="111"/>
      <c r="D32" s="155"/>
      <c r="E32" s="156">
        <f t="shared" si="0"/>
        <v>0</v>
      </c>
      <c r="F32" s="84"/>
      <c r="G32" s="84"/>
    </row>
    <row r="33" spans="1:7" ht="18" x14ac:dyDescent="0.3">
      <c r="A33" s="87" t="s">
        <v>233</v>
      </c>
      <c r="B33" s="9"/>
      <c r="C33" s="155"/>
      <c r="D33" s="155"/>
      <c r="E33" s="156">
        <f t="shared" si="0"/>
        <v>0</v>
      </c>
      <c r="F33" s="84"/>
      <c r="G33" s="84"/>
    </row>
    <row r="34" spans="1:7" ht="18" x14ac:dyDescent="0.3">
      <c r="A34" s="87" t="s">
        <v>234</v>
      </c>
      <c r="B34" s="9"/>
      <c r="C34" s="155"/>
      <c r="D34" s="155"/>
      <c r="E34" s="156">
        <f t="shared" si="0"/>
        <v>0</v>
      </c>
      <c r="F34" s="84"/>
      <c r="G34" s="84"/>
    </row>
    <row r="35" spans="1:7" ht="18" x14ac:dyDescent="0.3">
      <c r="A35" s="87" t="s">
        <v>235</v>
      </c>
      <c r="B35" s="9"/>
      <c r="C35" s="111"/>
      <c r="D35" s="111"/>
      <c r="E35" s="156">
        <f t="shared" si="0"/>
        <v>0</v>
      </c>
      <c r="F35" s="84"/>
      <c r="G35" s="84"/>
    </row>
    <row r="36" spans="1:7" ht="18" x14ac:dyDescent="0.3">
      <c r="A36" s="87" t="s">
        <v>236</v>
      </c>
      <c r="B36" s="82"/>
      <c r="C36" s="155"/>
      <c r="D36" s="155"/>
      <c r="E36" s="156">
        <f t="shared" si="0"/>
        <v>0</v>
      </c>
      <c r="F36" s="84"/>
      <c r="G36" s="84"/>
    </row>
    <row r="37" spans="1:7" ht="18" x14ac:dyDescent="0.3">
      <c r="A37" s="87" t="s">
        <v>237</v>
      </c>
      <c r="B37" s="82"/>
      <c r="C37" s="155"/>
      <c r="D37" s="155"/>
      <c r="E37" s="156">
        <f t="shared" si="0"/>
        <v>0</v>
      </c>
      <c r="F37" s="84"/>
      <c r="G37" s="84"/>
    </row>
    <row r="38" spans="1:7" ht="18" x14ac:dyDescent="0.3">
      <c r="A38" s="87" t="s">
        <v>238</v>
      </c>
      <c r="B38" s="82"/>
      <c r="C38" s="155"/>
      <c r="D38" s="155"/>
      <c r="E38" s="156">
        <f t="shared" si="0"/>
        <v>0</v>
      </c>
      <c r="F38" s="84"/>
      <c r="G38" s="84"/>
    </row>
    <row r="39" spans="1:7" ht="18" x14ac:dyDescent="0.3">
      <c r="A39" s="87" t="s">
        <v>239</v>
      </c>
      <c r="B39" s="82"/>
      <c r="C39" s="155"/>
      <c r="D39" s="155"/>
      <c r="E39" s="156">
        <f t="shared" si="0"/>
        <v>0</v>
      </c>
      <c r="F39" s="84"/>
      <c r="G39" s="84"/>
    </row>
    <row r="40" spans="1:7" ht="18" x14ac:dyDescent="0.3">
      <c r="A40" s="87" t="s">
        <v>240</v>
      </c>
      <c r="B40" s="82"/>
      <c r="C40" s="111"/>
      <c r="D40" s="155"/>
      <c r="E40" s="156">
        <f t="shared" si="0"/>
        <v>0</v>
      </c>
      <c r="F40" s="84"/>
      <c r="G40" s="84"/>
    </row>
    <row r="41" spans="1:7" ht="18" x14ac:dyDescent="0.3">
      <c r="A41" s="87" t="s">
        <v>314</v>
      </c>
      <c r="B41" s="82"/>
      <c r="C41" s="155"/>
      <c r="D41" s="155"/>
      <c r="E41" s="156">
        <f t="shared" si="0"/>
        <v>0</v>
      </c>
      <c r="F41" s="84"/>
      <c r="G41" s="84"/>
    </row>
    <row r="42" spans="1:7" ht="18" x14ac:dyDescent="0.3">
      <c r="A42" s="87" t="s">
        <v>242</v>
      </c>
      <c r="B42" s="82"/>
      <c r="C42" s="155"/>
      <c r="D42" s="155"/>
      <c r="E42" s="156">
        <f t="shared" si="0"/>
        <v>0</v>
      </c>
      <c r="F42" s="84"/>
      <c r="G42" s="84"/>
    </row>
    <row r="43" spans="1:7" ht="18" x14ac:dyDescent="0.3">
      <c r="A43" s="87" t="s">
        <v>243</v>
      </c>
      <c r="B43" s="82"/>
      <c r="C43" s="155"/>
      <c r="D43" s="155"/>
      <c r="E43" s="156">
        <f t="shared" si="0"/>
        <v>0</v>
      </c>
      <c r="F43" s="84"/>
      <c r="G43" s="84"/>
    </row>
    <row r="44" spans="1:7" ht="18" x14ac:dyDescent="0.3">
      <c r="A44" s="87" t="s">
        <v>244</v>
      </c>
      <c r="B44" s="82"/>
      <c r="C44" s="155"/>
      <c r="D44" s="155"/>
      <c r="E44" s="156">
        <f t="shared" si="0"/>
        <v>0</v>
      </c>
      <c r="F44" s="84"/>
      <c r="G44" s="84"/>
    </row>
    <row r="45" spans="1:7" ht="18" x14ac:dyDescent="0.3">
      <c r="A45" s="87" t="s">
        <v>245</v>
      </c>
      <c r="B45" s="82"/>
      <c r="C45" s="111"/>
      <c r="D45" s="155"/>
      <c r="E45" s="156">
        <f t="shared" si="0"/>
        <v>0</v>
      </c>
      <c r="F45" s="84"/>
      <c r="G45" s="84"/>
    </row>
    <row r="46" spans="1:7" ht="18" x14ac:dyDescent="0.3">
      <c r="A46" s="87" t="s">
        <v>246</v>
      </c>
      <c r="B46" s="82"/>
      <c r="C46" s="111"/>
      <c r="D46" s="155"/>
      <c r="E46" s="156">
        <f t="shared" si="0"/>
        <v>0</v>
      </c>
      <c r="F46" s="84"/>
      <c r="G46" s="84"/>
    </row>
    <row r="47" spans="1:7" ht="20.25" customHeight="1" x14ac:dyDescent="0.3">
      <c r="A47" s="87" t="s">
        <v>247</v>
      </c>
      <c r="B47" s="82"/>
      <c r="C47" s="155"/>
      <c r="D47" s="155"/>
      <c r="E47" s="156">
        <f t="shared" si="0"/>
        <v>0</v>
      </c>
      <c r="F47" s="84"/>
      <c r="G47" s="84"/>
    </row>
    <row r="48" spans="1:7" ht="18" x14ac:dyDescent="0.3">
      <c r="A48" s="87" t="s">
        <v>248</v>
      </c>
      <c r="B48" s="82"/>
      <c r="C48" s="155"/>
      <c r="D48" s="155"/>
      <c r="E48" s="156">
        <f t="shared" si="0"/>
        <v>0</v>
      </c>
      <c r="F48" s="84"/>
      <c r="G48" s="84"/>
    </row>
    <row r="49" spans="1:7" ht="18" x14ac:dyDescent="0.3">
      <c r="A49" s="87" t="s">
        <v>249</v>
      </c>
      <c r="B49" s="82"/>
      <c r="C49" s="155"/>
      <c r="D49" s="155"/>
      <c r="E49" s="156">
        <f t="shared" si="0"/>
        <v>0</v>
      </c>
      <c r="F49" s="84"/>
      <c r="G49" s="84"/>
    </row>
    <row r="50" spans="1:7" ht="18" x14ac:dyDescent="0.3">
      <c r="A50" s="87" t="s">
        <v>250</v>
      </c>
      <c r="B50" s="82"/>
      <c r="C50" s="155"/>
      <c r="D50" s="155"/>
      <c r="E50" s="156">
        <f t="shared" si="0"/>
        <v>0</v>
      </c>
      <c r="F50" s="84"/>
      <c r="G50" s="84"/>
    </row>
    <row r="51" spans="1:7" ht="18" x14ac:dyDescent="0.3">
      <c r="A51" s="87" t="s">
        <v>313</v>
      </c>
      <c r="B51" s="82"/>
      <c r="C51" s="111"/>
      <c r="D51" s="155"/>
      <c r="E51" s="156">
        <f t="shared" si="0"/>
        <v>0</v>
      </c>
      <c r="F51" s="84"/>
      <c r="G51" s="84"/>
    </row>
    <row r="52" spans="1:7" ht="18" x14ac:dyDescent="0.3">
      <c r="A52" s="87" t="s">
        <v>252</v>
      </c>
      <c r="B52" s="82"/>
      <c r="C52" s="155"/>
      <c r="D52" s="155"/>
      <c r="E52" s="156">
        <f t="shared" si="0"/>
        <v>0</v>
      </c>
      <c r="F52" s="84"/>
      <c r="G52" s="84"/>
    </row>
    <row r="53" spans="1:7" ht="18" x14ac:dyDescent="0.3">
      <c r="A53" s="87" t="s">
        <v>253</v>
      </c>
      <c r="B53" s="82"/>
      <c r="C53" s="155"/>
      <c r="D53" s="155"/>
      <c r="E53" s="156">
        <f t="shared" si="0"/>
        <v>0</v>
      </c>
      <c r="F53" s="84"/>
      <c r="G53" s="84"/>
    </row>
    <row r="54" spans="1:7" ht="18" x14ac:dyDescent="0.3">
      <c r="A54" s="87" t="s">
        <v>254</v>
      </c>
      <c r="B54" s="82"/>
      <c r="C54" s="155"/>
      <c r="D54" s="155"/>
      <c r="E54" s="156">
        <f t="shared" si="0"/>
        <v>0</v>
      </c>
      <c r="F54" s="84"/>
      <c r="G54" s="84"/>
    </row>
    <row r="55" spans="1:7" ht="18" x14ac:dyDescent="0.3">
      <c r="A55" s="87" t="s">
        <v>255</v>
      </c>
      <c r="B55" s="82"/>
      <c r="C55" s="155"/>
      <c r="D55" s="155"/>
      <c r="E55" s="156">
        <f t="shared" si="0"/>
        <v>0</v>
      </c>
      <c r="F55" s="84"/>
      <c r="G55" s="84"/>
    </row>
    <row r="56" spans="1:7" ht="18" x14ac:dyDescent="0.3">
      <c r="A56" s="87" t="s">
        <v>256</v>
      </c>
      <c r="B56" s="82"/>
      <c r="C56" s="155"/>
      <c r="D56" s="155"/>
      <c r="E56" s="156">
        <f t="shared" si="0"/>
        <v>0</v>
      </c>
      <c r="F56" s="84"/>
      <c r="G56" s="84"/>
    </row>
    <row r="57" spans="1:7" ht="18" x14ac:dyDescent="0.3">
      <c r="A57" s="87" t="s">
        <v>257</v>
      </c>
      <c r="B57" s="82"/>
      <c r="C57" s="155"/>
      <c r="D57" s="155"/>
      <c r="E57" s="156">
        <f t="shared" si="0"/>
        <v>0</v>
      </c>
      <c r="F57" s="84"/>
      <c r="G57" s="84"/>
    </row>
    <row r="58" spans="1:7" ht="18" x14ac:dyDescent="0.3">
      <c r="A58" s="87" t="s">
        <v>258</v>
      </c>
      <c r="B58" s="82"/>
      <c r="C58" s="155"/>
      <c r="D58" s="155"/>
      <c r="E58" s="156">
        <f t="shared" si="0"/>
        <v>0</v>
      </c>
      <c r="F58" s="84"/>
      <c r="G58" s="84"/>
    </row>
    <row r="59" spans="1:7" ht="18" x14ac:dyDescent="0.3">
      <c r="A59" s="87" t="s">
        <v>259</v>
      </c>
      <c r="B59" s="82"/>
      <c r="C59" s="155"/>
      <c r="D59" s="155"/>
      <c r="E59" s="156">
        <f t="shared" si="0"/>
        <v>0</v>
      </c>
      <c r="F59" s="84"/>
      <c r="G59" s="84"/>
    </row>
    <row r="60" spans="1:7" ht="18" x14ac:dyDescent="0.3">
      <c r="A60" s="87" t="s">
        <v>260</v>
      </c>
      <c r="B60" s="82"/>
      <c r="C60" s="155"/>
      <c r="D60" s="155"/>
      <c r="E60" s="156">
        <f t="shared" si="0"/>
        <v>0</v>
      </c>
      <c r="F60" s="84"/>
      <c r="G60" s="84"/>
    </row>
    <row r="61" spans="1:7" ht="18" x14ac:dyDescent="0.3">
      <c r="A61" s="87" t="s">
        <v>312</v>
      </c>
      <c r="B61" s="82"/>
      <c r="C61" s="155"/>
      <c r="D61" s="155"/>
      <c r="E61" s="156">
        <f t="shared" si="0"/>
        <v>0</v>
      </c>
      <c r="F61" s="84"/>
      <c r="G61" s="84"/>
    </row>
    <row r="62" spans="1:7" ht="18" x14ac:dyDescent="0.3">
      <c r="A62" s="87" t="s">
        <v>262</v>
      </c>
      <c r="B62" s="82"/>
      <c r="C62" s="155"/>
      <c r="D62" s="155"/>
      <c r="E62" s="156">
        <f t="shared" si="0"/>
        <v>0</v>
      </c>
      <c r="F62" s="84"/>
      <c r="G62" s="84"/>
    </row>
    <row r="63" spans="1:7" ht="18" x14ac:dyDescent="0.3">
      <c r="A63" s="87" t="s">
        <v>263</v>
      </c>
      <c r="B63" s="82"/>
      <c r="C63" s="155"/>
      <c r="D63" s="155"/>
      <c r="E63" s="156">
        <f t="shared" si="0"/>
        <v>0</v>
      </c>
      <c r="F63" s="84"/>
      <c r="G63" s="84"/>
    </row>
    <row r="64" spans="1:7" ht="18" x14ac:dyDescent="0.3">
      <c r="A64" s="87" t="s">
        <v>264</v>
      </c>
      <c r="B64" s="82"/>
      <c r="C64" s="155"/>
      <c r="D64" s="155"/>
      <c r="E64" s="156">
        <f t="shared" si="0"/>
        <v>0</v>
      </c>
      <c r="F64" s="84"/>
      <c r="G64" s="84"/>
    </row>
    <row r="65" spans="1:7" ht="18" x14ac:dyDescent="0.3">
      <c r="A65" s="87" t="s">
        <v>265</v>
      </c>
      <c r="B65" s="82"/>
      <c r="C65" s="155"/>
      <c r="D65" s="155"/>
      <c r="E65" s="156">
        <f t="shared" si="0"/>
        <v>0</v>
      </c>
      <c r="F65" s="84"/>
      <c r="G65" s="84"/>
    </row>
    <row r="66" spans="1:7" ht="18" x14ac:dyDescent="0.3">
      <c r="A66" s="87" t="s">
        <v>266</v>
      </c>
      <c r="B66" s="82"/>
      <c r="C66" s="155"/>
      <c r="D66" s="155"/>
      <c r="E66" s="156">
        <f t="shared" si="0"/>
        <v>0</v>
      </c>
      <c r="F66" s="84"/>
      <c r="G66" s="84"/>
    </row>
    <row r="67" spans="1:7" ht="18" x14ac:dyDescent="0.3">
      <c r="A67" s="87" t="s">
        <v>267</v>
      </c>
      <c r="B67" s="82"/>
      <c r="C67" s="155"/>
      <c r="D67" s="155"/>
      <c r="E67" s="156"/>
      <c r="F67" s="84"/>
      <c r="G67" s="84"/>
    </row>
    <row r="68" spans="1:7" ht="18" x14ac:dyDescent="0.3">
      <c r="A68" s="87" t="s">
        <v>268</v>
      </c>
      <c r="B68" s="82"/>
      <c r="C68" s="155"/>
      <c r="D68" s="155"/>
      <c r="E68" s="156"/>
      <c r="F68" s="84"/>
      <c r="G68" s="84"/>
    </row>
    <row r="69" spans="1:7" ht="16.5" x14ac:dyDescent="0.3">
      <c r="A69" s="77"/>
      <c r="B69" s="85"/>
      <c r="C69" s="91"/>
      <c r="D69" s="91"/>
      <c r="E69" s="91"/>
      <c r="F69" s="84"/>
      <c r="G69" s="84"/>
    </row>
    <row r="70" spans="1:7" ht="16.5" x14ac:dyDescent="0.3">
      <c r="A70" s="91"/>
      <c r="B70" s="291" t="s">
        <v>392</v>
      </c>
      <c r="C70" s="291"/>
      <c r="D70" s="291"/>
      <c r="E70" s="291"/>
      <c r="F70" s="86"/>
      <c r="G70" s="86"/>
    </row>
    <row r="71" spans="1:7" ht="16.5" x14ac:dyDescent="0.3">
      <c r="A71" s="91"/>
      <c r="B71" s="91"/>
      <c r="C71" s="91"/>
      <c r="D71" s="91"/>
      <c r="E71" s="91"/>
      <c r="F71" s="86"/>
      <c r="G71" s="86"/>
    </row>
    <row r="72" spans="1:7" ht="16.5" x14ac:dyDescent="0.3">
      <c r="A72" s="91"/>
      <c r="B72" s="91"/>
      <c r="C72" s="87" t="s">
        <v>393</v>
      </c>
      <c r="D72" s="87" t="s">
        <v>394</v>
      </c>
      <c r="E72" s="87" t="s">
        <v>395</v>
      </c>
      <c r="F72" s="86"/>
      <c r="G72" s="86"/>
    </row>
    <row r="73" spans="1:7" ht="16.5" x14ac:dyDescent="0.3">
      <c r="A73" s="91"/>
      <c r="B73" s="88" t="s">
        <v>396</v>
      </c>
      <c r="C73" s="89">
        <v>34</v>
      </c>
      <c r="D73" s="89">
        <v>22</v>
      </c>
      <c r="E73" s="89">
        <f>SUM(C73:D73)</f>
        <v>56</v>
      </c>
      <c r="F73" s="86"/>
      <c r="G73" s="86"/>
    </row>
    <row r="74" spans="1:7" ht="16.5" x14ac:dyDescent="0.3">
      <c r="A74" s="91"/>
      <c r="B74" s="87" t="s">
        <v>397</v>
      </c>
      <c r="C74" s="89">
        <v>20</v>
      </c>
      <c r="D74" s="89">
        <v>19</v>
      </c>
      <c r="E74" s="89">
        <f>SUM(C74:D74)</f>
        <v>39</v>
      </c>
      <c r="F74" s="86"/>
      <c r="G74" s="86"/>
    </row>
    <row r="75" spans="1:7" ht="16.5" x14ac:dyDescent="0.3">
      <c r="A75" s="91"/>
      <c r="B75" s="87" t="s">
        <v>398</v>
      </c>
      <c r="C75" s="89">
        <v>14</v>
      </c>
      <c r="D75" s="89">
        <v>3</v>
      </c>
      <c r="E75" s="89">
        <f>SUM(C75:D75)</f>
        <v>17</v>
      </c>
      <c r="F75" s="86"/>
      <c r="G75" s="86"/>
    </row>
    <row r="76" spans="1:7" ht="16.5" x14ac:dyDescent="0.3">
      <c r="A76" s="91"/>
      <c r="B76" s="87" t="s">
        <v>399</v>
      </c>
      <c r="C76" s="89">
        <v>18</v>
      </c>
      <c r="D76" s="89">
        <v>16</v>
      </c>
      <c r="E76" s="89">
        <f>SUM(C76:D76)</f>
        <v>34</v>
      </c>
      <c r="F76" s="86"/>
      <c r="G76" s="86"/>
    </row>
    <row r="77" spans="1:7" ht="16.5" x14ac:dyDescent="0.3">
      <c r="A77" s="91"/>
      <c r="B77" s="87" t="s">
        <v>400</v>
      </c>
      <c r="C77" s="89">
        <v>16</v>
      </c>
      <c r="D77" s="89">
        <v>6</v>
      </c>
      <c r="E77" s="89">
        <f>SUM(C77:D77)</f>
        <v>22</v>
      </c>
      <c r="F77" s="86"/>
      <c r="G77" s="86"/>
    </row>
    <row r="78" spans="1:7" ht="16.5" x14ac:dyDescent="0.3">
      <c r="A78" s="91"/>
      <c r="B78" s="87" t="s">
        <v>401</v>
      </c>
      <c r="C78" s="90">
        <f>+C76/C73</f>
        <v>0.52941176470588236</v>
      </c>
      <c r="D78" s="90">
        <f>+D76/D73</f>
        <v>0.72727272727272729</v>
      </c>
      <c r="E78" s="90">
        <f>+E76/E73</f>
        <v>0.6071428571428571</v>
      </c>
      <c r="F78" s="86"/>
      <c r="G78" s="86"/>
    </row>
    <row r="79" spans="1:7" x14ac:dyDescent="0.25">
      <c r="A79" s="86"/>
      <c r="B79" s="86"/>
      <c r="C79" s="86"/>
      <c r="D79" s="86"/>
      <c r="E79" s="86"/>
      <c r="F79" s="86"/>
      <c r="G79" s="86"/>
    </row>
    <row r="80" spans="1:7" ht="16.5" x14ac:dyDescent="0.3">
      <c r="A80" s="91"/>
      <c r="B80" s="91"/>
      <c r="C80" s="91"/>
      <c r="D80" s="77" t="s">
        <v>418</v>
      </c>
      <c r="E80" s="77"/>
      <c r="F80" s="143"/>
      <c r="G80" s="77"/>
    </row>
    <row r="81" spans="1:7" ht="16.5" x14ac:dyDescent="0.3">
      <c r="A81" s="91"/>
      <c r="B81" s="91"/>
      <c r="C81" s="91"/>
      <c r="D81" s="91"/>
      <c r="E81" s="91"/>
      <c r="F81" s="86"/>
      <c r="G81" s="91"/>
    </row>
    <row r="82" spans="1:7" ht="16.5" x14ac:dyDescent="0.3">
      <c r="A82" s="303" t="s">
        <v>403</v>
      </c>
      <c r="B82" s="303"/>
      <c r="C82" s="77"/>
      <c r="D82" s="77"/>
      <c r="E82" s="77" t="s">
        <v>404</v>
      </c>
      <c r="F82" s="143"/>
      <c r="G82" s="77"/>
    </row>
    <row r="83" spans="1:7" ht="16.5" x14ac:dyDescent="0.3">
      <c r="A83" s="91"/>
      <c r="B83" s="91"/>
      <c r="C83" s="91"/>
      <c r="D83" s="91"/>
      <c r="E83" s="91"/>
      <c r="F83" s="86"/>
      <c r="G83" s="91"/>
    </row>
    <row r="84" spans="1:7" ht="16.5" x14ac:dyDescent="0.3">
      <c r="A84" s="91"/>
      <c r="B84" s="91"/>
      <c r="C84" s="91"/>
      <c r="D84" s="91"/>
      <c r="E84" s="91"/>
      <c r="F84" s="86"/>
      <c r="G84" s="91"/>
    </row>
    <row r="85" spans="1:7" ht="16.5" x14ac:dyDescent="0.3">
      <c r="A85" s="91"/>
      <c r="B85" s="91"/>
      <c r="C85" s="91"/>
      <c r="D85" s="91"/>
      <c r="E85" s="91"/>
      <c r="F85" s="86"/>
      <c r="G85" s="91"/>
    </row>
    <row r="86" spans="1:7" ht="16.5" x14ac:dyDescent="0.3">
      <c r="A86" s="303" t="s">
        <v>417</v>
      </c>
      <c r="B86" s="303"/>
      <c r="C86" s="77"/>
      <c r="D86" s="77"/>
      <c r="E86" s="77" t="s">
        <v>8</v>
      </c>
      <c r="F86" s="143"/>
      <c r="G86" s="77"/>
    </row>
    <row r="87" spans="1:7" ht="16.5" x14ac:dyDescent="0.3">
      <c r="A87" s="91"/>
      <c r="B87" s="85"/>
      <c r="C87" s="91"/>
      <c r="D87" s="91"/>
      <c r="E87" s="91"/>
      <c r="F87" s="91"/>
      <c r="G87" s="91"/>
    </row>
  </sheetData>
  <mergeCells count="9">
    <mergeCell ref="B70:E70"/>
    <mergeCell ref="A82:B82"/>
    <mergeCell ref="A86:B86"/>
    <mergeCell ref="C1:E1"/>
    <mergeCell ref="C2:E2"/>
    <mergeCell ref="B5:G5"/>
    <mergeCell ref="B6:G6"/>
    <mergeCell ref="B7:G8"/>
    <mergeCell ref="D9:E9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J83"/>
  <sheetViews>
    <sheetView workbookViewId="0">
      <selection activeCell="H1" sqref="H1"/>
    </sheetView>
  </sheetViews>
  <sheetFormatPr baseColWidth="10" defaultRowHeight="15" x14ac:dyDescent="0.25"/>
  <cols>
    <col min="1" max="1" width="5.28515625" customWidth="1"/>
    <col min="2" max="2" width="40.28515625" customWidth="1"/>
    <col min="4" max="4" width="13.5703125" customWidth="1"/>
    <col min="5" max="5" width="12.5703125" customWidth="1"/>
  </cols>
  <sheetData>
    <row r="1" spans="1:7" ht="20.25" x14ac:dyDescent="0.3">
      <c r="A1" s="92"/>
      <c r="B1" s="266"/>
      <c r="C1" s="267" t="s">
        <v>5</v>
      </c>
      <c r="D1" s="267"/>
      <c r="E1" s="267"/>
      <c r="F1" s="266"/>
      <c r="G1" s="266"/>
    </row>
    <row r="2" spans="1:7" ht="20.25" x14ac:dyDescent="0.3">
      <c r="A2" s="1" t="s">
        <v>929</v>
      </c>
      <c r="B2" s="6"/>
      <c r="C2" s="31" t="s">
        <v>5</v>
      </c>
      <c r="D2" s="31"/>
      <c r="E2" s="31"/>
      <c r="F2" s="2"/>
      <c r="G2" s="2"/>
    </row>
    <row r="3" spans="1:7" ht="16.5" x14ac:dyDescent="0.3">
      <c r="A3" s="1" t="s">
        <v>930</v>
      </c>
      <c r="B3" s="6"/>
      <c r="C3" s="276" t="s">
        <v>6</v>
      </c>
      <c r="D3" s="276"/>
      <c r="E3" s="276"/>
      <c r="F3" s="2"/>
      <c r="G3" s="2"/>
    </row>
    <row r="4" spans="1:7" ht="16.5" x14ac:dyDescent="0.3">
      <c r="A4" s="1" t="s">
        <v>931</v>
      </c>
      <c r="B4" s="6"/>
      <c r="C4" s="2"/>
      <c r="D4" s="2"/>
      <c r="E4" s="2"/>
      <c r="F4" s="2"/>
      <c r="G4" s="2"/>
    </row>
    <row r="5" spans="1:7" ht="16.5" x14ac:dyDescent="0.3">
      <c r="A5" s="1" t="s">
        <v>932</v>
      </c>
      <c r="B5" s="6"/>
      <c r="C5" s="2"/>
      <c r="D5" s="3"/>
      <c r="E5" s="3"/>
      <c r="F5" s="2"/>
      <c r="G5" s="2"/>
    </row>
    <row r="6" spans="1:7" ht="18.75" x14ac:dyDescent="0.3">
      <c r="A6" s="2"/>
      <c r="B6" s="283" t="s">
        <v>1047</v>
      </c>
      <c r="C6" s="283"/>
      <c r="D6" s="283"/>
      <c r="E6" s="283"/>
      <c r="F6" s="283"/>
      <c r="G6" s="283"/>
    </row>
    <row r="7" spans="1:7" ht="16.5" customHeight="1" x14ac:dyDescent="0.3">
      <c r="A7" s="2"/>
      <c r="B7" s="4"/>
      <c r="C7" s="283" t="s">
        <v>1160</v>
      </c>
      <c r="D7" s="283"/>
      <c r="E7" s="283"/>
      <c r="F7" s="283"/>
      <c r="G7" s="283"/>
    </row>
    <row r="8" spans="1:7" ht="15" customHeight="1" x14ac:dyDescent="0.25">
      <c r="A8" s="324" t="s">
        <v>1046</v>
      </c>
      <c r="B8" s="324"/>
      <c r="C8" s="324"/>
      <c r="D8" s="324"/>
      <c r="E8" s="324"/>
      <c r="F8" s="324"/>
      <c r="G8" s="324"/>
    </row>
    <row r="9" spans="1:7" ht="15" customHeight="1" x14ac:dyDescent="0.25">
      <c r="A9" s="324"/>
      <c r="B9" s="324"/>
      <c r="C9" s="324"/>
      <c r="D9" s="324"/>
      <c r="E9" s="324"/>
      <c r="F9" s="324"/>
      <c r="G9" s="324"/>
    </row>
    <row r="10" spans="1:7" ht="40.5" customHeight="1" x14ac:dyDescent="0.25">
      <c r="A10" s="368" t="s">
        <v>106</v>
      </c>
      <c r="B10" s="369" t="s">
        <v>0</v>
      </c>
      <c r="C10" s="370" t="s">
        <v>210</v>
      </c>
      <c r="D10" s="370" t="s">
        <v>445</v>
      </c>
      <c r="E10" s="370" t="s">
        <v>446</v>
      </c>
      <c r="F10" s="355"/>
      <c r="G10" s="355"/>
    </row>
    <row r="11" spans="1:7" ht="24" customHeight="1" x14ac:dyDescent="0.3">
      <c r="A11" s="318" t="s">
        <v>1232</v>
      </c>
      <c r="B11" s="323" t="s">
        <v>1124</v>
      </c>
      <c r="C11" s="315">
        <v>14.282828282828284</v>
      </c>
      <c r="D11" s="315">
        <v>16.035353535353536</v>
      </c>
      <c r="E11" s="211">
        <f t="shared" ref="E11:E43" si="0">SUM(C11+D11)/2</f>
        <v>15.15909090909091</v>
      </c>
      <c r="F11" s="258"/>
      <c r="G11" s="355"/>
    </row>
    <row r="12" spans="1:7" ht="25.5" customHeight="1" x14ac:dyDescent="0.3">
      <c r="A12" s="318" t="s">
        <v>1128</v>
      </c>
      <c r="B12" s="323" t="s">
        <v>722</v>
      </c>
      <c r="C12" s="315">
        <v>14.085858585858587</v>
      </c>
      <c r="D12" s="315">
        <v>15.588383838383839</v>
      </c>
      <c r="E12" s="211">
        <f t="shared" si="0"/>
        <v>14.837121212121213</v>
      </c>
      <c r="F12" s="258"/>
      <c r="G12" s="355"/>
    </row>
    <row r="13" spans="1:7" ht="18.75" x14ac:dyDescent="0.3">
      <c r="A13" s="318" t="s">
        <v>1129</v>
      </c>
      <c r="B13" s="323" t="s">
        <v>1123</v>
      </c>
      <c r="C13" s="315">
        <v>13.606060606060607</v>
      </c>
      <c r="D13" s="315">
        <v>15.474747474747474</v>
      </c>
      <c r="E13" s="211">
        <f t="shared" si="0"/>
        <v>14.540404040404042</v>
      </c>
      <c r="F13" s="371"/>
      <c r="G13" s="375"/>
    </row>
    <row r="14" spans="1:7" ht="18.75" x14ac:dyDescent="0.3">
      <c r="A14" s="318" t="s">
        <v>1130</v>
      </c>
      <c r="B14" s="323" t="s">
        <v>735</v>
      </c>
      <c r="C14" s="315">
        <v>13.906565656565656</v>
      </c>
      <c r="D14" s="315">
        <v>14.830808080808081</v>
      </c>
      <c r="E14" s="211">
        <f t="shared" si="0"/>
        <v>14.368686868686869</v>
      </c>
      <c r="F14" s="371"/>
      <c r="G14" s="355"/>
    </row>
    <row r="15" spans="1:7" ht="18.75" x14ac:dyDescent="0.3">
      <c r="A15" s="318" t="s">
        <v>1131</v>
      </c>
      <c r="B15" s="323" t="s">
        <v>725</v>
      </c>
      <c r="C15" s="315">
        <v>13.835858585858587</v>
      </c>
      <c r="D15" s="315">
        <v>14.820707070707071</v>
      </c>
      <c r="E15" s="211">
        <f t="shared" si="0"/>
        <v>14.328282828282829</v>
      </c>
      <c r="F15" s="355"/>
      <c r="G15" s="355"/>
    </row>
    <row r="16" spans="1:7" ht="18.75" x14ac:dyDescent="0.3">
      <c r="A16" s="318" t="s">
        <v>1132</v>
      </c>
      <c r="B16" s="323" t="s">
        <v>1125</v>
      </c>
      <c r="C16" s="315">
        <v>13.896464646464645</v>
      </c>
      <c r="D16" s="315">
        <v>14.744949494949495</v>
      </c>
      <c r="E16" s="211">
        <f t="shared" si="0"/>
        <v>14.320707070707069</v>
      </c>
      <c r="F16" s="375"/>
      <c r="G16" s="375"/>
    </row>
    <row r="17" spans="1:7" ht="18.75" x14ac:dyDescent="0.3">
      <c r="A17" s="318" t="s">
        <v>1133</v>
      </c>
      <c r="B17" s="323" t="s">
        <v>743</v>
      </c>
      <c r="C17" s="315">
        <v>12.742424242424242</v>
      </c>
      <c r="D17" s="315">
        <v>15.659090909090908</v>
      </c>
      <c r="E17" s="211">
        <f t="shared" si="0"/>
        <v>14.200757575757574</v>
      </c>
      <c r="F17" s="355"/>
      <c r="G17" s="355"/>
    </row>
    <row r="18" spans="1:7" ht="18.75" x14ac:dyDescent="0.3">
      <c r="A18" s="318" t="s">
        <v>1134</v>
      </c>
      <c r="B18" s="378" t="s">
        <v>1235</v>
      </c>
      <c r="C18" s="372">
        <v>13.143939393939393</v>
      </c>
      <c r="D18" s="372">
        <v>14.984848484848484</v>
      </c>
      <c r="E18" s="211">
        <f t="shared" si="0"/>
        <v>14.064393939393938</v>
      </c>
      <c r="F18" s="355"/>
      <c r="G18" s="355"/>
    </row>
    <row r="19" spans="1:7" ht="18.75" x14ac:dyDescent="0.3">
      <c r="A19" s="318" t="s">
        <v>1135</v>
      </c>
      <c r="B19" s="323" t="s">
        <v>729</v>
      </c>
      <c r="C19" s="315">
        <v>12.143939393939393</v>
      </c>
      <c r="D19" s="315">
        <v>15.893939393939393</v>
      </c>
      <c r="E19" s="211">
        <f t="shared" si="0"/>
        <v>14.018939393939393</v>
      </c>
      <c r="F19" s="355"/>
      <c r="G19" s="355"/>
    </row>
    <row r="20" spans="1:7" ht="22.5" customHeight="1" x14ac:dyDescent="0.3">
      <c r="A20" s="318" t="s">
        <v>1136</v>
      </c>
      <c r="B20" s="323" t="s">
        <v>737</v>
      </c>
      <c r="C20" s="315">
        <v>12.065656565656566</v>
      </c>
      <c r="D20" s="315">
        <v>13.757575757575758</v>
      </c>
      <c r="E20" s="211">
        <f t="shared" si="0"/>
        <v>12.911616161616163</v>
      </c>
      <c r="F20" s="355"/>
      <c r="G20" s="355"/>
    </row>
    <row r="21" spans="1:7" ht="18.75" x14ac:dyDescent="0.3">
      <c r="A21" s="318" t="s">
        <v>1137</v>
      </c>
      <c r="B21" s="323" t="s">
        <v>740</v>
      </c>
      <c r="C21" s="315">
        <v>12.186868686868687</v>
      </c>
      <c r="D21" s="315">
        <v>13.088383838383839</v>
      </c>
      <c r="E21" s="211">
        <f t="shared" si="0"/>
        <v>12.637626262626263</v>
      </c>
      <c r="F21" s="355"/>
      <c r="G21" s="355"/>
    </row>
    <row r="22" spans="1:7" ht="18.75" x14ac:dyDescent="0.3">
      <c r="A22" s="318" t="s">
        <v>1138</v>
      </c>
      <c r="B22" s="323" t="s">
        <v>1122</v>
      </c>
      <c r="C22" s="315">
        <v>11.709595959595958</v>
      </c>
      <c r="D22" s="315">
        <v>13.30050505050505</v>
      </c>
      <c r="E22" s="211">
        <f t="shared" si="0"/>
        <v>12.505050505050505</v>
      </c>
      <c r="F22" s="355"/>
      <c r="G22" s="355"/>
    </row>
    <row r="23" spans="1:7" ht="18.75" x14ac:dyDescent="0.3">
      <c r="A23" s="318" t="s">
        <v>1139</v>
      </c>
      <c r="B23" s="323" t="s">
        <v>736</v>
      </c>
      <c r="C23" s="315">
        <v>11.017676767676768</v>
      </c>
      <c r="D23" s="315">
        <v>13.414141414141413</v>
      </c>
      <c r="E23" s="211">
        <f t="shared" si="0"/>
        <v>12.21590909090909</v>
      </c>
      <c r="F23" s="355"/>
      <c r="G23" s="355"/>
    </row>
    <row r="24" spans="1:7" ht="18.75" x14ac:dyDescent="0.3">
      <c r="A24" s="318" t="s">
        <v>1140</v>
      </c>
      <c r="B24" s="323" t="s">
        <v>720</v>
      </c>
      <c r="C24" s="315">
        <v>11.676767676767676</v>
      </c>
      <c r="D24" s="315">
        <v>12.689393939393939</v>
      </c>
      <c r="E24" s="211">
        <f t="shared" si="0"/>
        <v>12.183080808080808</v>
      </c>
      <c r="F24" s="355"/>
      <c r="G24" s="355"/>
    </row>
    <row r="25" spans="1:7" ht="18.75" x14ac:dyDescent="0.3">
      <c r="A25" s="318" t="s">
        <v>1141</v>
      </c>
      <c r="B25" s="323" t="s">
        <v>1127</v>
      </c>
      <c r="C25" s="315">
        <v>10.929292929292929</v>
      </c>
      <c r="D25" s="315">
        <v>12.565656565656566</v>
      </c>
      <c r="E25" s="211">
        <f t="shared" si="0"/>
        <v>11.747474747474747</v>
      </c>
      <c r="F25" s="355"/>
      <c r="G25" s="355"/>
    </row>
    <row r="26" spans="1:7" ht="18.75" x14ac:dyDescent="0.3">
      <c r="A26" s="318" t="s">
        <v>1142</v>
      </c>
      <c r="B26" s="323" t="s">
        <v>746</v>
      </c>
      <c r="C26" s="315">
        <v>9.6338383838383823</v>
      </c>
      <c r="D26" s="315">
        <v>13.542929292929292</v>
      </c>
      <c r="E26" s="211">
        <f t="shared" si="0"/>
        <v>11.588383838383837</v>
      </c>
      <c r="F26" s="355"/>
      <c r="G26" s="355"/>
    </row>
    <row r="27" spans="1:7" ht="18.75" x14ac:dyDescent="0.3">
      <c r="A27" s="318" t="s">
        <v>1143</v>
      </c>
      <c r="B27" s="323" t="s">
        <v>730</v>
      </c>
      <c r="C27" s="315">
        <v>10.209595959595958</v>
      </c>
      <c r="D27" s="315">
        <v>12.431818181818182</v>
      </c>
      <c r="E27" s="211">
        <f t="shared" si="0"/>
        <v>11.320707070707069</v>
      </c>
      <c r="F27" s="355"/>
      <c r="G27" s="355"/>
    </row>
    <row r="28" spans="1:7" ht="18.75" x14ac:dyDescent="0.3">
      <c r="A28" s="318" t="s">
        <v>1144</v>
      </c>
      <c r="B28" s="323" t="s">
        <v>1121</v>
      </c>
      <c r="C28" s="315">
        <v>10.517676767676768</v>
      </c>
      <c r="D28" s="315">
        <v>11.808080808080808</v>
      </c>
      <c r="E28" s="211">
        <f t="shared" si="0"/>
        <v>11.162878787878789</v>
      </c>
      <c r="F28" s="355"/>
      <c r="G28" s="355"/>
    </row>
    <row r="29" spans="1:7" ht="18.75" x14ac:dyDescent="0.3">
      <c r="A29" s="318" t="s">
        <v>1145</v>
      </c>
      <c r="B29" s="323" t="s">
        <v>732</v>
      </c>
      <c r="C29" s="315">
        <v>10.138888888888889</v>
      </c>
      <c r="D29" s="315">
        <v>11.540404040404042</v>
      </c>
      <c r="E29" s="211">
        <f t="shared" si="0"/>
        <v>10.839646464646465</v>
      </c>
      <c r="F29" s="355"/>
      <c r="G29" s="355"/>
    </row>
    <row r="30" spans="1:7" ht="24" customHeight="1" x14ac:dyDescent="0.3">
      <c r="A30" s="318" t="s">
        <v>1146</v>
      </c>
      <c r="B30" s="323" t="s">
        <v>744</v>
      </c>
      <c r="C30" s="315">
        <v>9.7070707070707076</v>
      </c>
      <c r="D30" s="315">
        <v>11.633838383838382</v>
      </c>
      <c r="E30" s="211">
        <f t="shared" si="0"/>
        <v>10.670454545454545</v>
      </c>
      <c r="F30" s="355"/>
      <c r="G30" s="355"/>
    </row>
    <row r="31" spans="1:7" ht="20.25" x14ac:dyDescent="0.25">
      <c r="A31" s="318" t="s">
        <v>1233</v>
      </c>
      <c r="B31" s="323" t="s">
        <v>1118</v>
      </c>
      <c r="C31" s="315">
        <v>9.4696969696969688</v>
      </c>
      <c r="D31" s="315">
        <v>11.560606060606061</v>
      </c>
      <c r="E31" s="211">
        <f t="shared" si="0"/>
        <v>10.515151515151516</v>
      </c>
      <c r="F31" s="355"/>
      <c r="G31" s="355"/>
    </row>
    <row r="32" spans="1:7" ht="18.75" x14ac:dyDescent="0.3">
      <c r="A32" s="318" t="s">
        <v>1147</v>
      </c>
      <c r="B32" s="323" t="s">
        <v>728</v>
      </c>
      <c r="C32" s="315">
        <v>9.5404040404040416</v>
      </c>
      <c r="D32" s="315">
        <v>11.459595959595958</v>
      </c>
      <c r="E32" s="211">
        <f t="shared" si="0"/>
        <v>10.5</v>
      </c>
      <c r="F32" s="355"/>
      <c r="G32" s="355"/>
    </row>
    <row r="33" spans="1:10" ht="18.75" x14ac:dyDescent="0.3">
      <c r="A33" s="318" t="s">
        <v>1148</v>
      </c>
      <c r="B33" s="323" t="s">
        <v>873</v>
      </c>
      <c r="C33" s="315">
        <v>9.6691919191919187</v>
      </c>
      <c r="D33" s="315">
        <v>10.843434343434344</v>
      </c>
      <c r="E33" s="211">
        <f t="shared" si="0"/>
        <v>10.256313131313131</v>
      </c>
      <c r="F33" s="355"/>
      <c r="G33" s="355"/>
    </row>
    <row r="34" spans="1:10" ht="18.75" x14ac:dyDescent="0.3">
      <c r="A34" s="318" t="s">
        <v>1149</v>
      </c>
      <c r="B34" s="323" t="s">
        <v>719</v>
      </c>
      <c r="C34" s="315">
        <v>9.5151515151515156</v>
      </c>
      <c r="D34" s="315">
        <v>10.982323232323232</v>
      </c>
      <c r="E34" s="211">
        <f t="shared" si="0"/>
        <v>10.248737373737374</v>
      </c>
      <c r="F34" s="258"/>
      <c r="G34" s="355"/>
    </row>
    <row r="35" spans="1:10" ht="18.75" x14ac:dyDescent="0.3">
      <c r="A35" s="318" t="s">
        <v>1150</v>
      </c>
      <c r="B35" s="323" t="s">
        <v>739</v>
      </c>
      <c r="C35" s="315">
        <v>9.5404040404040416</v>
      </c>
      <c r="D35" s="315">
        <v>10.80050505050505</v>
      </c>
      <c r="E35" s="211">
        <f t="shared" si="0"/>
        <v>10.170454545454547</v>
      </c>
      <c r="F35" s="258"/>
      <c r="G35" s="355"/>
    </row>
    <row r="36" spans="1:10" ht="20.25" customHeight="1" x14ac:dyDescent="0.3">
      <c r="A36" s="318" t="s">
        <v>1151</v>
      </c>
      <c r="B36" s="323" t="s">
        <v>723</v>
      </c>
      <c r="C36" s="315">
        <v>8.8762626262626263</v>
      </c>
      <c r="D36" s="315">
        <v>10.669191919191919</v>
      </c>
      <c r="E36" s="211">
        <f t="shared" si="0"/>
        <v>9.7727272727272734</v>
      </c>
      <c r="F36" s="355"/>
      <c r="G36" s="355"/>
    </row>
    <row r="37" spans="1:10" ht="18.75" x14ac:dyDescent="0.3">
      <c r="A37" s="318" t="s">
        <v>1152</v>
      </c>
      <c r="B37" s="323" t="s">
        <v>724</v>
      </c>
      <c r="C37" s="315">
        <v>9.2121212121212128</v>
      </c>
      <c r="D37" s="315">
        <v>10.219696969696969</v>
      </c>
      <c r="E37" s="211">
        <f t="shared" si="0"/>
        <v>9.7159090909090899</v>
      </c>
      <c r="F37" s="355"/>
      <c r="G37" s="355"/>
    </row>
    <row r="38" spans="1:10" ht="18.75" x14ac:dyDescent="0.3">
      <c r="A38" s="318" t="s">
        <v>1153</v>
      </c>
      <c r="B38" s="323" t="s">
        <v>1119</v>
      </c>
      <c r="C38" s="315">
        <v>12.702020202020202</v>
      </c>
      <c r="D38" s="315">
        <v>5.2323232323232327</v>
      </c>
      <c r="E38" s="211">
        <f t="shared" si="0"/>
        <v>8.967171717171718</v>
      </c>
      <c r="F38" s="355"/>
      <c r="G38" s="355"/>
    </row>
    <row r="39" spans="1:10" ht="18.75" x14ac:dyDescent="0.3">
      <c r="A39" s="318" t="s">
        <v>1154</v>
      </c>
      <c r="B39" s="323" t="s">
        <v>1120</v>
      </c>
      <c r="C39" s="315">
        <v>8.3308080808080813</v>
      </c>
      <c r="D39" s="315">
        <v>9.5732323232323235</v>
      </c>
      <c r="E39" s="211">
        <f t="shared" si="0"/>
        <v>8.9520202020202024</v>
      </c>
      <c r="F39" s="355"/>
      <c r="G39" s="355"/>
    </row>
    <row r="40" spans="1:10" ht="18.75" x14ac:dyDescent="0.3">
      <c r="A40" s="318" t="s">
        <v>1155</v>
      </c>
      <c r="B40" s="378" t="s">
        <v>1116</v>
      </c>
      <c r="C40" s="315">
        <v>7.7954545454545459</v>
      </c>
      <c r="D40" s="315">
        <v>9.7803030303030312</v>
      </c>
      <c r="E40" s="211">
        <f t="shared" si="0"/>
        <v>8.787878787878789</v>
      </c>
      <c r="F40" s="355"/>
      <c r="G40" s="355"/>
    </row>
    <row r="41" spans="1:10" ht="20.25" x14ac:dyDescent="0.25">
      <c r="A41" s="318" t="s">
        <v>1234</v>
      </c>
      <c r="B41" s="323" t="s">
        <v>1126</v>
      </c>
      <c r="C41" s="315">
        <v>9.1136363636363651</v>
      </c>
      <c r="D41" s="315">
        <v>5.1565656565656566</v>
      </c>
      <c r="E41" s="211">
        <f t="shared" si="0"/>
        <v>7.1351010101010104</v>
      </c>
      <c r="F41" s="355"/>
      <c r="G41" s="355"/>
    </row>
    <row r="42" spans="1:10" ht="23.25" customHeight="1" x14ac:dyDescent="0.3">
      <c r="A42" s="318" t="s">
        <v>1156</v>
      </c>
      <c r="B42" s="323" t="s">
        <v>1117</v>
      </c>
      <c r="C42" s="315">
        <v>7</v>
      </c>
      <c r="D42" s="315">
        <v>5.7323232323232318</v>
      </c>
      <c r="E42" s="211">
        <f t="shared" si="0"/>
        <v>6.3661616161616159</v>
      </c>
      <c r="F42" s="355"/>
      <c r="G42" s="355"/>
      <c r="H42" s="190"/>
      <c r="J42" s="190"/>
    </row>
    <row r="43" spans="1:10" ht="18.75" x14ac:dyDescent="0.3">
      <c r="A43" s="318" t="s">
        <v>1157</v>
      </c>
      <c r="B43" s="323" t="s">
        <v>727</v>
      </c>
      <c r="C43" s="315">
        <v>7.5707070707070701</v>
      </c>
      <c r="D43" s="315">
        <v>4.1843434343434343</v>
      </c>
      <c r="E43" s="211">
        <f t="shared" si="0"/>
        <v>5.8775252525252526</v>
      </c>
      <c r="F43" s="355"/>
      <c r="G43" s="355"/>
      <c r="H43" s="190"/>
      <c r="J43" s="190"/>
    </row>
    <row r="44" spans="1:10" ht="18" x14ac:dyDescent="0.25">
      <c r="A44" s="355"/>
      <c r="B44" s="376"/>
      <c r="C44" s="355"/>
      <c r="D44" s="355"/>
      <c r="E44" s="355"/>
      <c r="F44" s="355"/>
      <c r="G44" s="355"/>
      <c r="H44" s="190"/>
      <c r="J44" s="190"/>
    </row>
    <row r="45" spans="1:10" ht="18" x14ac:dyDescent="0.25">
      <c r="A45" s="355"/>
      <c r="B45" s="361" t="s">
        <v>392</v>
      </c>
      <c r="C45" s="361"/>
      <c r="D45" s="361"/>
      <c r="E45" s="361"/>
      <c r="F45" s="355"/>
      <c r="G45" s="355"/>
      <c r="H45" s="190"/>
      <c r="J45" s="190"/>
    </row>
    <row r="46" spans="1:10" ht="18" x14ac:dyDescent="0.25">
      <c r="A46" s="355"/>
      <c r="B46" s="355"/>
      <c r="C46" s="273" t="s">
        <v>393</v>
      </c>
      <c r="D46" s="273" t="s">
        <v>394</v>
      </c>
      <c r="E46" s="273" t="s">
        <v>395</v>
      </c>
      <c r="F46" s="355"/>
      <c r="G46" s="355"/>
      <c r="H46" s="190"/>
      <c r="J46" s="190"/>
    </row>
    <row r="47" spans="1:10" ht="18" x14ac:dyDescent="0.25">
      <c r="A47" s="355"/>
      <c r="B47" s="362" t="s">
        <v>396</v>
      </c>
      <c r="C47" s="273">
        <v>18</v>
      </c>
      <c r="D47" s="273">
        <v>15</v>
      </c>
      <c r="E47" s="273">
        <v>33</v>
      </c>
      <c r="F47" s="355"/>
      <c r="G47" s="355"/>
      <c r="H47" s="190"/>
      <c r="J47" s="190"/>
    </row>
    <row r="48" spans="1:10" ht="18" x14ac:dyDescent="0.25">
      <c r="A48" s="355"/>
      <c r="B48" s="318" t="s">
        <v>397</v>
      </c>
      <c r="C48" s="273">
        <v>18</v>
      </c>
      <c r="D48" s="273">
        <v>15</v>
      </c>
      <c r="E48" s="273">
        <f>SUM(C48:D48)</f>
        <v>33</v>
      </c>
      <c r="F48" s="355"/>
      <c r="G48" s="355"/>
      <c r="H48" s="190"/>
      <c r="J48" s="190"/>
    </row>
    <row r="49" spans="1:7" ht="18" x14ac:dyDescent="0.25">
      <c r="A49" s="355"/>
      <c r="B49" s="318" t="s">
        <v>398</v>
      </c>
      <c r="C49" s="273">
        <v>0</v>
      </c>
      <c r="D49" s="273">
        <v>0</v>
      </c>
      <c r="E49" s="273">
        <v>0</v>
      </c>
      <c r="F49" s="355"/>
      <c r="G49" s="355"/>
    </row>
    <row r="50" spans="1:7" ht="18" x14ac:dyDescent="0.25">
      <c r="A50" s="355"/>
      <c r="B50" s="318" t="s">
        <v>399</v>
      </c>
      <c r="C50" s="273">
        <v>15</v>
      </c>
      <c r="D50" s="273">
        <v>10</v>
      </c>
      <c r="E50" s="273">
        <v>25</v>
      </c>
      <c r="F50" s="355"/>
      <c r="G50" s="355"/>
    </row>
    <row r="51" spans="1:7" ht="18" x14ac:dyDescent="0.25">
      <c r="A51" s="355"/>
      <c r="B51" s="318" t="s">
        <v>400</v>
      </c>
      <c r="C51" s="273">
        <v>3</v>
      </c>
      <c r="D51" s="273">
        <v>5</v>
      </c>
      <c r="E51" s="273">
        <v>8</v>
      </c>
      <c r="F51" s="355"/>
      <c r="G51" s="355"/>
    </row>
    <row r="52" spans="1:7" ht="18" x14ac:dyDescent="0.25">
      <c r="A52" s="355"/>
      <c r="B52" s="318" t="s">
        <v>401</v>
      </c>
      <c r="C52" s="274">
        <f>+C50/C47</f>
        <v>0.83333333333333337</v>
      </c>
      <c r="D52" s="274">
        <f>+D50/D47</f>
        <v>0.66666666666666663</v>
      </c>
      <c r="E52" s="274">
        <f>+E50/E47</f>
        <v>0.75757575757575757</v>
      </c>
      <c r="F52" s="355"/>
      <c r="G52" s="355"/>
    </row>
    <row r="53" spans="1:7" ht="18.75" x14ac:dyDescent="0.3">
      <c r="A53" s="377"/>
      <c r="B53" s="377"/>
      <c r="C53" s="377"/>
      <c r="D53" s="377"/>
      <c r="E53" s="377"/>
      <c r="F53" s="355"/>
      <c r="G53" s="355"/>
    </row>
    <row r="54" spans="1:7" ht="18.75" x14ac:dyDescent="0.3">
      <c r="A54" s="272"/>
      <c r="B54" s="272" t="s">
        <v>1054</v>
      </c>
      <c r="C54" s="272"/>
      <c r="D54" s="355"/>
      <c r="E54" s="258"/>
      <c r="F54" s="355"/>
      <c r="G54" s="355"/>
    </row>
    <row r="55" spans="1:7" ht="18.75" x14ac:dyDescent="0.3">
      <c r="A55" s="272"/>
      <c r="B55" s="272"/>
      <c r="C55" s="272"/>
      <c r="D55" s="272"/>
      <c r="E55" s="272"/>
      <c r="F55" s="258"/>
      <c r="G55" s="355"/>
    </row>
    <row r="56" spans="1:7" ht="18.75" x14ac:dyDescent="0.3">
      <c r="A56" s="258"/>
      <c r="B56" s="258" t="s">
        <v>1053</v>
      </c>
      <c r="C56" s="272"/>
      <c r="D56" s="283" t="s">
        <v>404</v>
      </c>
      <c r="E56" s="283"/>
      <c r="F56" s="355"/>
      <c r="G56" s="355"/>
    </row>
    <row r="57" spans="1:7" ht="18" x14ac:dyDescent="0.25">
      <c r="A57" s="272"/>
      <c r="B57" s="272"/>
      <c r="C57" s="272"/>
      <c r="D57" s="272"/>
      <c r="E57" s="272"/>
      <c r="F57" s="355"/>
      <c r="G57" s="355"/>
    </row>
    <row r="58" spans="1:7" ht="18" x14ac:dyDescent="0.25">
      <c r="A58" s="272"/>
      <c r="B58" s="272"/>
      <c r="C58" s="272"/>
      <c r="D58" s="272"/>
      <c r="E58" s="272"/>
      <c r="F58" s="355"/>
      <c r="G58" s="355"/>
    </row>
    <row r="59" spans="1:7" ht="18" x14ac:dyDescent="0.25">
      <c r="A59" s="272"/>
      <c r="B59" s="272"/>
      <c r="C59" s="272"/>
      <c r="D59" s="272"/>
      <c r="E59" s="272"/>
      <c r="F59" s="355"/>
      <c r="G59" s="355"/>
    </row>
    <row r="60" spans="1:7" ht="18" x14ac:dyDescent="0.25">
      <c r="A60" s="272" t="s">
        <v>1052</v>
      </c>
      <c r="B60" s="272"/>
      <c r="C60" s="272"/>
      <c r="D60" s="283" t="s">
        <v>1055</v>
      </c>
      <c r="E60" s="283"/>
      <c r="F60" s="355"/>
      <c r="G60" s="355"/>
    </row>
    <row r="61" spans="1:7" x14ac:dyDescent="0.25">
      <c r="F61" s="84"/>
      <c r="G61" s="84"/>
    </row>
    <row r="62" spans="1:7" x14ac:dyDescent="0.25">
      <c r="F62" s="84"/>
      <c r="G62" s="84"/>
    </row>
    <row r="63" spans="1:7" x14ac:dyDescent="0.25">
      <c r="F63" s="84"/>
      <c r="G63" s="84"/>
    </row>
    <row r="64" spans="1:7" x14ac:dyDescent="0.25">
      <c r="F64" s="84"/>
      <c r="G64" s="84"/>
    </row>
    <row r="65" spans="6:7" x14ac:dyDescent="0.25">
      <c r="F65" s="84"/>
      <c r="G65" s="84"/>
    </row>
    <row r="66" spans="6:7" x14ac:dyDescent="0.25">
      <c r="F66" s="84"/>
      <c r="G66" s="84"/>
    </row>
    <row r="67" spans="6:7" x14ac:dyDescent="0.25">
      <c r="F67" s="84"/>
      <c r="G67" s="84"/>
    </row>
    <row r="68" spans="6:7" x14ac:dyDescent="0.25">
      <c r="F68" s="86"/>
      <c r="G68" s="86"/>
    </row>
    <row r="69" spans="6:7" x14ac:dyDescent="0.25">
      <c r="F69" s="86"/>
      <c r="G69" s="86"/>
    </row>
    <row r="70" spans="6:7" x14ac:dyDescent="0.25">
      <c r="F70" s="86"/>
      <c r="G70" s="86"/>
    </row>
    <row r="71" spans="6:7" x14ac:dyDescent="0.25">
      <c r="F71" s="86"/>
      <c r="G71" s="86"/>
    </row>
    <row r="72" spans="6:7" x14ac:dyDescent="0.25">
      <c r="F72" s="86"/>
      <c r="G72" s="86"/>
    </row>
    <row r="73" spans="6:7" x14ac:dyDescent="0.25">
      <c r="F73" s="86"/>
      <c r="G73" s="86"/>
    </row>
    <row r="74" spans="6:7" x14ac:dyDescent="0.25">
      <c r="F74" s="86"/>
      <c r="G74" s="86"/>
    </row>
    <row r="75" spans="6:7" x14ac:dyDescent="0.25">
      <c r="F75" s="86"/>
      <c r="G75" s="86"/>
    </row>
    <row r="76" spans="6:7" x14ac:dyDescent="0.25">
      <c r="F76" s="86"/>
      <c r="G76" s="86"/>
    </row>
    <row r="77" spans="6:7" ht="16.5" x14ac:dyDescent="0.3">
      <c r="F77" s="143"/>
      <c r="G77" s="77"/>
    </row>
    <row r="78" spans="6:7" ht="16.5" x14ac:dyDescent="0.3">
      <c r="F78" s="143"/>
      <c r="G78" s="77"/>
    </row>
    <row r="79" spans="6:7" ht="16.5" x14ac:dyDescent="0.3">
      <c r="F79" s="86"/>
      <c r="G79" s="91"/>
    </row>
    <row r="80" spans="6:7" ht="16.5" x14ac:dyDescent="0.3">
      <c r="F80" s="86"/>
      <c r="G80" s="91"/>
    </row>
    <row r="81" spans="6:7" ht="16.5" x14ac:dyDescent="0.3">
      <c r="F81" s="86"/>
      <c r="G81" s="91"/>
    </row>
    <row r="82" spans="6:7" ht="16.5" x14ac:dyDescent="0.3">
      <c r="F82" s="143"/>
      <c r="G82" s="77"/>
    </row>
    <row r="83" spans="6:7" ht="16.5" x14ac:dyDescent="0.3">
      <c r="F83" s="91"/>
      <c r="G83" s="91"/>
    </row>
  </sheetData>
  <sortState ref="B11:E44">
    <sortCondition descending="1" ref="E11:E44"/>
  </sortState>
  <mergeCells count="7">
    <mergeCell ref="D60:E60"/>
    <mergeCell ref="B45:E45"/>
    <mergeCell ref="B6:G6"/>
    <mergeCell ref="C3:E3"/>
    <mergeCell ref="C7:G7"/>
    <mergeCell ref="A8:G9"/>
    <mergeCell ref="D56:E56"/>
  </mergeCells>
  <printOptions horizontalCentered="1"/>
  <pageMargins left="0.70866141732283472" right="0.70866141732283472" top="0.74803149606299213" bottom="0.74803149606299213" header="0.31496062992125984" footer="0.31496062992125984"/>
  <pageSetup scale="95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G112"/>
  <sheetViews>
    <sheetView topLeftCell="A4" zoomScale="112" zoomScaleNormal="112" workbookViewId="0">
      <selection activeCell="B12" sqref="B12:B33"/>
    </sheetView>
  </sheetViews>
  <sheetFormatPr baseColWidth="10" defaultColWidth="11.42578125" defaultRowHeight="16.5" x14ac:dyDescent="0.3"/>
  <cols>
    <col min="1" max="1" width="6" style="2" customWidth="1"/>
    <col min="2" max="2" width="35.140625" style="4" customWidth="1"/>
    <col min="3" max="3" width="8.7109375" style="2" customWidth="1"/>
    <col min="4" max="5" width="10.7109375" style="2" customWidth="1"/>
    <col min="6" max="16384" width="11.42578125" style="2"/>
  </cols>
  <sheetData>
    <row r="1" spans="1:7" x14ac:dyDescent="0.3">
      <c r="A1" s="1" t="s">
        <v>929</v>
      </c>
      <c r="B1" s="6"/>
    </row>
    <row r="2" spans="1:7" ht="20.25" x14ac:dyDescent="0.3">
      <c r="A2" s="1" t="s">
        <v>930</v>
      </c>
      <c r="B2" s="6"/>
      <c r="C2" s="311" t="s">
        <v>5</v>
      </c>
      <c r="D2" s="311"/>
      <c r="E2" s="311"/>
    </row>
    <row r="3" spans="1:7" x14ac:dyDescent="0.3">
      <c r="A3" s="1" t="s">
        <v>931</v>
      </c>
      <c r="B3" s="6"/>
      <c r="C3" s="310" t="s">
        <v>6</v>
      </c>
      <c r="D3" s="310"/>
      <c r="E3" s="310"/>
    </row>
    <row r="4" spans="1:7" x14ac:dyDescent="0.3">
      <c r="A4" s="1" t="s">
        <v>932</v>
      </c>
      <c r="B4" s="6"/>
    </row>
    <row r="5" spans="1:7" x14ac:dyDescent="0.3">
      <c r="A5" s="1"/>
      <c r="B5" s="2"/>
      <c r="D5" s="3"/>
      <c r="E5" s="3"/>
    </row>
    <row r="6" spans="1:7" x14ac:dyDescent="0.3">
      <c r="B6" s="279" t="s">
        <v>937</v>
      </c>
      <c r="C6" s="279"/>
      <c r="D6" s="279"/>
      <c r="E6" s="279"/>
      <c r="F6" s="279"/>
      <c r="G6" s="279"/>
    </row>
    <row r="7" spans="1:7" ht="18" x14ac:dyDescent="0.3">
      <c r="B7" s="285" t="s">
        <v>439</v>
      </c>
      <c r="C7" s="285"/>
      <c r="D7" s="285"/>
      <c r="E7" s="285"/>
      <c r="F7" s="285"/>
      <c r="G7" s="285"/>
    </row>
    <row r="8" spans="1:7" ht="15" customHeight="1" x14ac:dyDescent="0.3">
      <c r="B8" s="280" t="s">
        <v>938</v>
      </c>
      <c r="C8" s="280"/>
      <c r="D8" s="280"/>
      <c r="E8" s="280"/>
      <c r="F8" s="280"/>
      <c r="G8" s="280"/>
    </row>
    <row r="9" spans="1:7" x14ac:dyDescent="0.3">
      <c r="B9" s="280"/>
      <c r="C9" s="280"/>
      <c r="D9" s="280"/>
      <c r="E9" s="280"/>
      <c r="F9" s="280"/>
      <c r="G9" s="280"/>
    </row>
    <row r="10" spans="1:7" x14ac:dyDescent="0.3">
      <c r="B10" s="278"/>
      <c r="C10" s="278"/>
      <c r="D10" s="278"/>
      <c r="E10" s="278"/>
    </row>
    <row r="11" spans="1:7" s="5" customFormat="1" ht="31.5" customHeight="1" x14ac:dyDescent="0.2">
      <c r="A11" s="63" t="s">
        <v>106</v>
      </c>
      <c r="B11" s="64" t="s">
        <v>0</v>
      </c>
      <c r="C11" s="58" t="s">
        <v>419</v>
      </c>
      <c r="D11" s="58" t="s">
        <v>420</v>
      </c>
      <c r="E11" s="58" t="s">
        <v>421</v>
      </c>
    </row>
    <row r="12" spans="1:7" s="5" customFormat="1" ht="18" x14ac:dyDescent="0.2">
      <c r="A12" s="63" t="s">
        <v>317</v>
      </c>
      <c r="B12" s="9" t="s">
        <v>754</v>
      </c>
      <c r="C12" s="32">
        <v>13.5</v>
      </c>
      <c r="D12" s="32">
        <v>15.421052631578947</v>
      </c>
      <c r="E12" s="207">
        <v>14.780701754385964</v>
      </c>
    </row>
    <row r="13" spans="1:7" s="5" customFormat="1" ht="18" x14ac:dyDescent="0.2">
      <c r="A13" s="63" t="s">
        <v>444</v>
      </c>
      <c r="B13" s="9" t="s">
        <v>763</v>
      </c>
      <c r="C13" s="32">
        <v>14</v>
      </c>
      <c r="D13" s="32">
        <v>15.157894736842104</v>
      </c>
      <c r="E13" s="207">
        <v>14.771929824561402</v>
      </c>
    </row>
    <row r="14" spans="1:7" s="5" customFormat="1" ht="18" x14ac:dyDescent="0.2">
      <c r="A14" s="63" t="s">
        <v>212</v>
      </c>
      <c r="B14" s="9" t="s">
        <v>753</v>
      </c>
      <c r="C14" s="32">
        <v>14.375</v>
      </c>
      <c r="D14" s="32">
        <v>13.736842105263158</v>
      </c>
      <c r="E14" s="207">
        <v>13.949561403508772</v>
      </c>
    </row>
    <row r="15" spans="1:7" s="5" customFormat="1" ht="18" x14ac:dyDescent="0.2">
      <c r="A15" s="63" t="s">
        <v>213</v>
      </c>
      <c r="B15" s="9" t="s">
        <v>765</v>
      </c>
      <c r="C15" s="32">
        <v>13.375</v>
      </c>
      <c r="D15" s="32">
        <v>14.157894736842104</v>
      </c>
      <c r="E15" s="207">
        <v>13.896929824561402</v>
      </c>
    </row>
    <row r="16" spans="1:7" s="5" customFormat="1" ht="18" x14ac:dyDescent="0.2">
      <c r="A16" s="63" t="s">
        <v>214</v>
      </c>
      <c r="B16" s="9" t="s">
        <v>750</v>
      </c>
      <c r="C16" s="32">
        <v>12.875</v>
      </c>
      <c r="D16" s="32">
        <v>13.947368421052632</v>
      </c>
      <c r="E16" s="207">
        <v>13.589912280701753</v>
      </c>
    </row>
    <row r="17" spans="1:5" s="5" customFormat="1" ht="18" x14ac:dyDescent="0.2">
      <c r="A17" s="63" t="s">
        <v>216</v>
      </c>
      <c r="B17" s="9" t="s">
        <v>768</v>
      </c>
      <c r="C17" s="32">
        <v>12.75</v>
      </c>
      <c r="D17" s="32">
        <v>13.473684210526315</v>
      </c>
      <c r="E17" s="207">
        <v>13.232456140350877</v>
      </c>
    </row>
    <row r="18" spans="1:5" s="5" customFormat="1" ht="18" x14ac:dyDescent="0.2">
      <c r="A18" s="63" t="s">
        <v>217</v>
      </c>
      <c r="B18" s="9" t="s">
        <v>761</v>
      </c>
      <c r="C18" s="32">
        <v>12.875</v>
      </c>
      <c r="D18" s="32">
        <v>12.578947368421053</v>
      </c>
      <c r="E18" s="207">
        <v>12.67763157894737</v>
      </c>
    </row>
    <row r="19" spans="1:5" s="5" customFormat="1" ht="18" x14ac:dyDescent="0.2">
      <c r="A19" s="63" t="s">
        <v>218</v>
      </c>
      <c r="B19" s="9" t="s">
        <v>747</v>
      </c>
      <c r="C19" s="32">
        <v>12.5</v>
      </c>
      <c r="D19" s="32">
        <v>12.684210526315789</v>
      </c>
      <c r="E19" s="207">
        <v>12.622807017543858</v>
      </c>
    </row>
    <row r="20" spans="1:5" s="5" customFormat="1" ht="18" x14ac:dyDescent="0.2">
      <c r="A20" s="63" t="s">
        <v>219</v>
      </c>
      <c r="B20" s="9" t="s">
        <v>755</v>
      </c>
      <c r="C20" s="32">
        <v>12</v>
      </c>
      <c r="D20" s="32">
        <v>12.210526315789474</v>
      </c>
      <c r="E20" s="207">
        <v>12.140350877192981</v>
      </c>
    </row>
    <row r="21" spans="1:5" s="5" customFormat="1" ht="18" x14ac:dyDescent="0.2">
      <c r="A21" s="63" t="s">
        <v>220</v>
      </c>
      <c r="B21" s="9" t="s">
        <v>752</v>
      </c>
      <c r="C21" s="32">
        <v>12.375</v>
      </c>
      <c r="D21" s="32">
        <v>11.947368421052632</v>
      </c>
      <c r="E21" s="207">
        <v>12.089912280701753</v>
      </c>
    </row>
    <row r="22" spans="1:5" s="5" customFormat="1" ht="18" x14ac:dyDescent="0.2">
      <c r="A22" s="63" t="s">
        <v>221</v>
      </c>
      <c r="B22" s="9" t="s">
        <v>762</v>
      </c>
      <c r="C22" s="32">
        <v>11</v>
      </c>
      <c r="D22" s="32">
        <v>12.526315789473685</v>
      </c>
      <c r="E22" s="207">
        <v>12.017543859649123</v>
      </c>
    </row>
    <row r="23" spans="1:5" s="5" customFormat="1" ht="18" x14ac:dyDescent="0.2">
      <c r="A23" s="63" t="s">
        <v>222</v>
      </c>
      <c r="B23" s="9" t="s">
        <v>751</v>
      </c>
      <c r="C23" s="32">
        <v>11.5</v>
      </c>
      <c r="D23" s="32">
        <v>12.263157894736842</v>
      </c>
      <c r="E23" s="207">
        <v>12.008771929824562</v>
      </c>
    </row>
    <row r="24" spans="1:5" s="5" customFormat="1" ht="18" x14ac:dyDescent="0.2">
      <c r="A24" s="63" t="s">
        <v>223</v>
      </c>
      <c r="B24" s="9" t="s">
        <v>748</v>
      </c>
      <c r="C24" s="32">
        <v>11.75</v>
      </c>
      <c r="D24" s="32">
        <v>10.789473684210526</v>
      </c>
      <c r="E24" s="207">
        <v>11.109649122807019</v>
      </c>
    </row>
    <row r="25" spans="1:5" s="5" customFormat="1" ht="18" x14ac:dyDescent="0.2">
      <c r="A25" s="63" t="s">
        <v>224</v>
      </c>
      <c r="B25" s="9" t="s">
        <v>766</v>
      </c>
      <c r="C25" s="32">
        <v>11.125</v>
      </c>
      <c r="D25" s="44">
        <v>9.4210526315789469</v>
      </c>
      <c r="E25" s="207">
        <v>9.9890350877192979</v>
      </c>
    </row>
    <row r="26" spans="1:5" s="5" customFormat="1" ht="18" x14ac:dyDescent="0.2">
      <c r="A26" s="63" t="s">
        <v>225</v>
      </c>
      <c r="B26" s="9" t="s">
        <v>760</v>
      </c>
      <c r="C26" s="32">
        <v>9.625</v>
      </c>
      <c r="D26" s="32">
        <v>9.7368421052631575</v>
      </c>
      <c r="E26" s="207">
        <v>9.6995614035087723</v>
      </c>
    </row>
    <row r="27" spans="1:5" s="5" customFormat="1" ht="16.5" customHeight="1" x14ac:dyDescent="0.2">
      <c r="A27" s="63" t="s">
        <v>226</v>
      </c>
      <c r="B27" s="9" t="s">
        <v>757</v>
      </c>
      <c r="C27" s="32">
        <v>7.875</v>
      </c>
      <c r="D27" s="32">
        <v>7.4210526315789478</v>
      </c>
      <c r="E27" s="207">
        <v>7.5723684210526327</v>
      </c>
    </row>
    <row r="28" spans="1:5" s="5" customFormat="1" ht="18" x14ac:dyDescent="0.2">
      <c r="A28" s="63" t="s">
        <v>227</v>
      </c>
      <c r="B28" s="9" t="s">
        <v>764</v>
      </c>
      <c r="C28" s="32">
        <v>9.375</v>
      </c>
      <c r="D28" s="32">
        <v>4.6842105263157894</v>
      </c>
      <c r="E28" s="207">
        <v>6.2478070175438596</v>
      </c>
    </row>
    <row r="29" spans="1:5" s="5" customFormat="1" ht="18" x14ac:dyDescent="0.2">
      <c r="A29" s="63" t="s">
        <v>228</v>
      </c>
      <c r="B29" s="9" t="s">
        <v>758</v>
      </c>
      <c r="C29" s="32">
        <v>6.75</v>
      </c>
      <c r="D29" s="32">
        <v>5.7368421052631575</v>
      </c>
      <c r="E29" s="207">
        <v>6.0745614035087714</v>
      </c>
    </row>
    <row r="30" spans="1:5" s="5" customFormat="1" ht="18" x14ac:dyDescent="0.2">
      <c r="A30" s="63" t="s">
        <v>229</v>
      </c>
      <c r="B30" s="9" t="s">
        <v>767</v>
      </c>
      <c r="C30" s="32">
        <v>9.375</v>
      </c>
      <c r="D30" s="32">
        <v>4.3684210526315788</v>
      </c>
      <c r="E30" s="207">
        <v>6.0372807017543861</v>
      </c>
    </row>
    <row r="31" spans="1:5" s="5" customFormat="1" ht="18" x14ac:dyDescent="0.2">
      <c r="A31" s="63" t="s">
        <v>230</v>
      </c>
      <c r="B31" s="9" t="s">
        <v>756</v>
      </c>
      <c r="C31" s="32">
        <v>9.375</v>
      </c>
      <c r="D31" s="32">
        <v>2.736842105263158</v>
      </c>
      <c r="E31" s="207">
        <v>4.9495614035087714</v>
      </c>
    </row>
    <row r="32" spans="1:5" s="5" customFormat="1" ht="18" x14ac:dyDescent="0.2">
      <c r="A32" s="63" t="s">
        <v>315</v>
      </c>
      <c r="B32" s="9" t="s">
        <v>749</v>
      </c>
      <c r="C32" s="32">
        <v>6.875</v>
      </c>
      <c r="D32" s="32">
        <v>2.2105263157894739</v>
      </c>
      <c r="E32" s="207">
        <v>3.7653508771929829</v>
      </c>
    </row>
    <row r="33" spans="1:7" s="5" customFormat="1" ht="18" x14ac:dyDescent="0.2">
      <c r="A33" s="63" t="s">
        <v>232</v>
      </c>
      <c r="B33" s="9" t="s">
        <v>759</v>
      </c>
      <c r="C33" s="32">
        <v>5.5</v>
      </c>
      <c r="D33" s="32">
        <v>2.4210526315789473</v>
      </c>
      <c r="E33" s="207">
        <v>3.4473684210526314</v>
      </c>
    </row>
    <row r="34" spans="1:7" s="5" customFormat="1" ht="12.75" x14ac:dyDescent="0.2"/>
    <row r="35" spans="1:7" s="5" customFormat="1" x14ac:dyDescent="0.3">
      <c r="B35" s="2"/>
      <c r="C35" s="2"/>
      <c r="D35" s="2"/>
      <c r="E35" s="2"/>
      <c r="F35" s="2"/>
      <c r="G35"/>
    </row>
    <row r="36" spans="1:7" s="5" customFormat="1" ht="15" customHeight="1" x14ac:dyDescent="0.3">
      <c r="B36" s="2"/>
      <c r="C36" s="2"/>
      <c r="D36" s="47" t="s">
        <v>393</v>
      </c>
      <c r="E36" s="47" t="s">
        <v>394</v>
      </c>
      <c r="F36" s="47" t="s">
        <v>395</v>
      </c>
      <c r="G36"/>
    </row>
    <row r="37" spans="1:7" s="5" customFormat="1" x14ac:dyDescent="0.3">
      <c r="B37" s="2"/>
      <c r="C37" s="48" t="s">
        <v>396</v>
      </c>
      <c r="D37" s="49">
        <v>12</v>
      </c>
      <c r="E37" s="49">
        <v>10</v>
      </c>
      <c r="F37" s="49">
        <v>22</v>
      </c>
      <c r="G37"/>
    </row>
    <row r="38" spans="1:7" s="5" customFormat="1" x14ac:dyDescent="0.3">
      <c r="B38" s="2"/>
      <c r="C38" s="10" t="s">
        <v>397</v>
      </c>
      <c r="D38" s="49">
        <v>12</v>
      </c>
      <c r="E38" s="49">
        <v>10</v>
      </c>
      <c r="F38" s="49">
        <v>22</v>
      </c>
      <c r="G38"/>
    </row>
    <row r="39" spans="1:7" s="5" customFormat="1" ht="19.5" customHeight="1" x14ac:dyDescent="0.3">
      <c r="B39" s="2"/>
      <c r="C39" s="10" t="s">
        <v>398</v>
      </c>
      <c r="D39" s="49">
        <v>0</v>
      </c>
      <c r="E39" s="49">
        <v>0</v>
      </c>
      <c r="F39" s="49">
        <v>0</v>
      </c>
      <c r="G39"/>
    </row>
    <row r="40" spans="1:7" s="5" customFormat="1" ht="15.75" customHeight="1" x14ac:dyDescent="0.3">
      <c r="B40" s="2"/>
      <c r="C40" s="10" t="s">
        <v>399</v>
      </c>
      <c r="D40" s="49">
        <v>10</v>
      </c>
      <c r="E40" s="49">
        <v>3</v>
      </c>
      <c r="F40" s="49">
        <v>13</v>
      </c>
      <c r="G40"/>
    </row>
    <row r="41" spans="1:7" s="5" customFormat="1" x14ac:dyDescent="0.3">
      <c r="B41" s="2"/>
      <c r="C41" s="10" t="s">
        <v>400</v>
      </c>
      <c r="D41" s="49">
        <v>2</v>
      </c>
      <c r="E41" s="49">
        <v>7</v>
      </c>
      <c r="F41" s="49">
        <v>9</v>
      </c>
      <c r="G41"/>
    </row>
    <row r="42" spans="1:7" s="5" customFormat="1" x14ac:dyDescent="0.3">
      <c r="B42" s="2"/>
      <c r="C42" s="10" t="s">
        <v>401</v>
      </c>
      <c r="D42" s="50">
        <f>+D40/D37</f>
        <v>0.83333333333333337</v>
      </c>
      <c r="E42" s="50">
        <f>+E40/E37</f>
        <v>0.3</v>
      </c>
      <c r="F42" s="50">
        <f>+F40/F37</f>
        <v>0.59090909090909094</v>
      </c>
      <c r="G42"/>
    </row>
    <row r="43" spans="1:7" s="5" customFormat="1" ht="16.5" customHeight="1" x14ac:dyDescent="0.25">
      <c r="B43"/>
      <c r="C43"/>
      <c r="D43"/>
      <c r="E43"/>
      <c r="F43"/>
      <c r="G43"/>
    </row>
    <row r="44" spans="1:7" s="5" customFormat="1" x14ac:dyDescent="0.3">
      <c r="B44" s="2"/>
      <c r="C44" s="2"/>
      <c r="D44" s="2"/>
      <c r="E44" s="15"/>
      <c r="F44" s="199"/>
      <c r="G44" s="53"/>
    </row>
    <row r="45" spans="1:7" s="5" customFormat="1" x14ac:dyDescent="0.3">
      <c r="B45" s="2"/>
      <c r="C45" s="2"/>
      <c r="D45" s="2"/>
      <c r="E45" s="2"/>
      <c r="F45" s="2"/>
      <c r="G45"/>
    </row>
    <row r="46" spans="1:7" s="5" customFormat="1" x14ac:dyDescent="0.3">
      <c r="B46" s="2"/>
      <c r="C46" s="2"/>
      <c r="D46" s="15" t="s">
        <v>925</v>
      </c>
      <c r="E46" s="241"/>
      <c r="F46" s="53"/>
      <c r="G46" s="53"/>
    </row>
    <row r="47" spans="1:7" s="5" customFormat="1" x14ac:dyDescent="0.3">
      <c r="B47" s="2"/>
      <c r="C47" s="2"/>
      <c r="D47" s="2"/>
      <c r="E47" s="2"/>
      <c r="F47" s="2"/>
      <c r="G47"/>
    </row>
    <row r="48" spans="1:7" s="5" customFormat="1" ht="18.75" x14ac:dyDescent="0.3">
      <c r="B48" s="285" t="s">
        <v>921</v>
      </c>
      <c r="C48" s="285"/>
      <c r="D48" s="15"/>
      <c r="E48" s="244" t="s">
        <v>404</v>
      </c>
      <c r="F48" s="15"/>
      <c r="G48"/>
    </row>
    <row r="49" spans="2:7" s="5" customFormat="1" ht="16.5" customHeight="1" x14ac:dyDescent="0.3">
      <c r="B49" s="15"/>
      <c r="C49" s="15"/>
      <c r="D49" s="15"/>
      <c r="E49" s="15"/>
      <c r="F49" s="15"/>
      <c r="G49"/>
    </row>
    <row r="50" spans="2:7" s="5" customFormat="1" ht="17.25" customHeight="1" x14ac:dyDescent="0.3">
      <c r="B50" s="15"/>
      <c r="C50" s="15"/>
      <c r="D50" s="15"/>
      <c r="E50" s="15"/>
      <c r="F50" s="15"/>
      <c r="G50" s="53"/>
    </row>
    <row r="51" spans="2:7" s="5" customFormat="1" ht="12.75" x14ac:dyDescent="0.2"/>
    <row r="52" spans="2:7" s="5" customFormat="1" ht="16.5" customHeight="1" x14ac:dyDescent="0.2"/>
    <row r="53" spans="2:7" s="5" customFormat="1" ht="16.5" customHeight="1" x14ac:dyDescent="0.3">
      <c r="B53" s="285" t="s">
        <v>922</v>
      </c>
      <c r="C53" s="285"/>
      <c r="D53" s="15"/>
      <c r="E53" s="15" t="s">
        <v>8</v>
      </c>
      <c r="F53" s="15"/>
    </row>
    <row r="54" spans="2:7" s="5" customFormat="1" ht="18" customHeight="1" x14ac:dyDescent="0.2"/>
    <row r="55" spans="2:7" s="5" customFormat="1" ht="12.75" x14ac:dyDescent="0.2"/>
    <row r="56" spans="2:7" s="5" customFormat="1" ht="12.75" x14ac:dyDescent="0.2"/>
    <row r="57" spans="2:7" s="5" customFormat="1" ht="12.75" x14ac:dyDescent="0.2"/>
    <row r="58" spans="2:7" s="5" customFormat="1" ht="12.75" x14ac:dyDescent="0.2"/>
    <row r="59" spans="2:7" s="5" customFormat="1" ht="12.75" x14ac:dyDescent="0.2"/>
    <row r="60" spans="2:7" s="5" customFormat="1" ht="12.75" x14ac:dyDescent="0.2"/>
    <row r="61" spans="2:7" s="5" customFormat="1" ht="16.5" customHeight="1" x14ac:dyDescent="0.2"/>
    <row r="62" spans="2:7" s="5" customFormat="1" ht="16.5" customHeight="1" x14ac:dyDescent="0.2"/>
    <row r="63" spans="2:7" s="5" customFormat="1" ht="18" customHeight="1" x14ac:dyDescent="0.2"/>
    <row r="64" spans="2:7" s="5" customFormat="1" ht="12.75" x14ac:dyDescent="0.2"/>
    <row r="65" s="5" customFormat="1" ht="12.75" x14ac:dyDescent="0.2"/>
    <row r="66" s="5" customFormat="1" ht="12.75" x14ac:dyDescent="0.2"/>
    <row r="67" s="5" customFormat="1" ht="12.75" x14ac:dyDescent="0.2"/>
    <row r="68" s="5" customFormat="1" ht="12.75" x14ac:dyDescent="0.2"/>
    <row r="69" s="5" customFormat="1" ht="12.75" x14ac:dyDescent="0.2"/>
    <row r="70" s="5" customFormat="1" ht="12.75" x14ac:dyDescent="0.2"/>
    <row r="71" s="5" customFormat="1" ht="12.75" x14ac:dyDescent="0.2"/>
    <row r="72" s="5" customFormat="1" ht="12.75" x14ac:dyDescent="0.2"/>
    <row r="73" s="5" customFormat="1" ht="12.75" x14ac:dyDescent="0.2"/>
    <row r="74" s="5" customFormat="1" ht="12.75" x14ac:dyDescent="0.2"/>
    <row r="75" s="5" customFormat="1" ht="16.5" customHeight="1" x14ac:dyDescent="0.2"/>
    <row r="76" s="5" customFormat="1" ht="12.75" x14ac:dyDescent="0.2"/>
    <row r="77" s="5" customFormat="1" ht="12.75" x14ac:dyDescent="0.2"/>
    <row r="78" s="5" customFormat="1" ht="16.5" customHeight="1" x14ac:dyDescent="0.2"/>
    <row r="79" s="5" customFormat="1" ht="12.75" x14ac:dyDescent="0.2"/>
    <row r="80" s="5" customFormat="1" ht="12.75" x14ac:dyDescent="0.2"/>
    <row r="81" spans="1:6" s="5" customFormat="1" ht="18.75" customHeight="1" x14ac:dyDescent="0.2"/>
    <row r="82" spans="1:6" s="5" customFormat="1" ht="12.75" x14ac:dyDescent="0.2"/>
    <row r="83" spans="1:6" s="5" customFormat="1" ht="12.75" x14ac:dyDescent="0.2"/>
    <row r="84" spans="1:6" s="5" customFormat="1" ht="12.75" x14ac:dyDescent="0.2"/>
    <row r="85" spans="1:6" s="5" customFormat="1" ht="12.75" x14ac:dyDescent="0.2"/>
    <row r="86" spans="1:6" s="5" customFormat="1" ht="12.75" x14ac:dyDescent="0.2"/>
    <row r="87" spans="1:6" s="5" customFormat="1" ht="12.75" x14ac:dyDescent="0.2"/>
    <row r="88" spans="1:6" s="5" customFormat="1" ht="12.75" x14ac:dyDescent="0.2"/>
    <row r="89" spans="1:6" s="5" customFormat="1" ht="12.75" x14ac:dyDescent="0.2"/>
    <row r="90" spans="1:6" s="5" customFormat="1" ht="12.75" x14ac:dyDescent="0.2"/>
    <row r="91" spans="1:6" s="5" customFormat="1" ht="12.75" x14ac:dyDescent="0.2"/>
    <row r="92" spans="1:6" s="5" customFormat="1" ht="12.75" x14ac:dyDescent="0.2"/>
    <row r="93" spans="1:6" s="5" customFormat="1" x14ac:dyDescent="0.2">
      <c r="A93" s="65"/>
      <c r="B93" s="17"/>
      <c r="C93" s="66"/>
      <c r="D93" s="66"/>
      <c r="E93" s="67"/>
    </row>
    <row r="94" spans="1:6" s="5" customFormat="1" x14ac:dyDescent="0.2">
      <c r="A94" s="65"/>
      <c r="B94" s="17"/>
      <c r="C94" s="66"/>
      <c r="D94" s="66"/>
      <c r="E94" s="67"/>
    </row>
    <row r="95" spans="1:6" s="5" customFormat="1" x14ac:dyDescent="0.3">
      <c r="A95" s="15"/>
      <c r="B95" s="4"/>
      <c r="C95" s="2"/>
      <c r="D95" s="2"/>
      <c r="E95" s="2"/>
    </row>
    <row r="96" spans="1:6" s="8" customFormat="1" x14ac:dyDescent="0.3">
      <c r="A96" s="2"/>
      <c r="B96" s="281"/>
      <c r="C96" s="281"/>
      <c r="D96" s="281"/>
      <c r="E96" s="281"/>
      <c r="F96"/>
    </row>
    <row r="97" spans="2:2" s="5" customFormat="1" ht="12.75" x14ac:dyDescent="0.2"/>
    <row r="98" spans="2:2" s="5" customFormat="1" ht="12.75" x14ac:dyDescent="0.2"/>
    <row r="99" spans="2:2" s="5" customFormat="1" ht="12.75" x14ac:dyDescent="0.2"/>
    <row r="100" spans="2:2" s="5" customFormat="1" ht="12.75" x14ac:dyDescent="0.2"/>
    <row r="101" spans="2:2" s="8" customFormat="1" ht="12.75" x14ac:dyDescent="0.2"/>
    <row r="102" spans="2:2" x14ac:dyDescent="0.3">
      <c r="B102" s="2"/>
    </row>
    <row r="103" spans="2:2" x14ac:dyDescent="0.3">
      <c r="B103" s="2"/>
    </row>
    <row r="104" spans="2:2" x14ac:dyDescent="0.3">
      <c r="B104" s="2"/>
    </row>
    <row r="105" spans="2:2" x14ac:dyDescent="0.3">
      <c r="B105" s="2"/>
    </row>
    <row r="106" spans="2:2" x14ac:dyDescent="0.3">
      <c r="B106" s="2"/>
    </row>
    <row r="107" spans="2:2" x14ac:dyDescent="0.3">
      <c r="B107" s="2"/>
    </row>
    <row r="108" spans="2:2" x14ac:dyDescent="0.3">
      <c r="B108" s="2"/>
    </row>
    <row r="109" spans="2:2" x14ac:dyDescent="0.3">
      <c r="B109" s="2"/>
    </row>
    <row r="110" spans="2:2" x14ac:dyDescent="0.3">
      <c r="B110" s="2"/>
    </row>
    <row r="111" spans="2:2" x14ac:dyDescent="0.3">
      <c r="B111" s="2"/>
    </row>
    <row r="112" spans="2:2" x14ac:dyDescent="0.3">
      <c r="B112" s="2"/>
    </row>
  </sheetData>
  <sortState ref="B12:E33">
    <sortCondition descending="1" ref="E12:E33"/>
  </sortState>
  <mergeCells count="9">
    <mergeCell ref="B96:E96"/>
    <mergeCell ref="C2:E2"/>
    <mergeCell ref="C3:E3"/>
    <mergeCell ref="B10:E10"/>
    <mergeCell ref="B6:G6"/>
    <mergeCell ref="B7:G7"/>
    <mergeCell ref="B8:G9"/>
    <mergeCell ref="B48:C48"/>
    <mergeCell ref="B53:C53"/>
  </mergeCells>
  <printOptions horizontalCentered="1"/>
  <pageMargins left="0.19685039370078741" right="0.15748031496062992" top="0.55118110236220474" bottom="0.55118110236220474" header="0.31496062992125984" footer="0.11811023622047245"/>
  <pageSetup paperSize="9" scale="90" orientation="portrait" r:id="rId1"/>
  <headerFooter>
    <oddFooter>&amp;LGSP MOH-CA / 11ème Année SE&amp;R&amp;P/&amp;N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H113"/>
  <sheetViews>
    <sheetView topLeftCell="A2" workbookViewId="0">
      <selection activeCell="B12" sqref="B12:B29"/>
    </sheetView>
  </sheetViews>
  <sheetFormatPr baseColWidth="10" defaultRowHeight="15" x14ac:dyDescent="0.25"/>
  <cols>
    <col min="1" max="1" width="6.7109375" customWidth="1"/>
    <col min="2" max="2" width="32" customWidth="1"/>
    <col min="4" max="4" width="13.7109375" customWidth="1"/>
    <col min="5" max="5" width="16" customWidth="1"/>
  </cols>
  <sheetData>
    <row r="1" spans="1:8" ht="16.5" x14ac:dyDescent="0.3">
      <c r="A1" s="91"/>
      <c r="B1" s="85"/>
      <c r="C1" s="91"/>
      <c r="D1" s="91"/>
      <c r="E1" s="91"/>
      <c r="F1" s="91"/>
      <c r="G1" s="91"/>
      <c r="H1" s="91"/>
    </row>
    <row r="2" spans="1:8" ht="20.25" x14ac:dyDescent="0.3">
      <c r="A2" s="74" t="s">
        <v>1</v>
      </c>
      <c r="B2" s="91"/>
      <c r="C2" s="313" t="s">
        <v>5</v>
      </c>
      <c r="D2" s="313"/>
      <c r="E2" s="313"/>
      <c r="F2" s="91"/>
      <c r="G2" s="91"/>
      <c r="H2" s="91"/>
    </row>
    <row r="3" spans="1:8" ht="16.5" x14ac:dyDescent="0.3">
      <c r="A3" s="74" t="s">
        <v>2</v>
      </c>
      <c r="B3" s="91"/>
      <c r="C3" s="302" t="s">
        <v>6</v>
      </c>
      <c r="D3" s="302"/>
      <c r="E3" s="302"/>
      <c r="F3" s="91"/>
      <c r="G3" s="91"/>
      <c r="H3" s="91"/>
    </row>
    <row r="4" spans="1:8" ht="16.5" x14ac:dyDescent="0.3">
      <c r="A4" s="74" t="s">
        <v>3</v>
      </c>
      <c r="B4" s="91"/>
      <c r="C4" s="91"/>
      <c r="D4" s="91"/>
      <c r="E4" s="91"/>
      <c r="F4" s="91"/>
      <c r="G4" s="91"/>
      <c r="H4" s="91"/>
    </row>
    <row r="5" spans="1:8" ht="16.5" x14ac:dyDescent="0.3">
      <c r="A5" s="74" t="s">
        <v>4</v>
      </c>
      <c r="B5" s="91"/>
      <c r="C5" s="91"/>
      <c r="D5" s="120"/>
      <c r="E5" s="120"/>
      <c r="F5" s="91"/>
      <c r="G5" s="91"/>
      <c r="H5" s="91"/>
    </row>
    <row r="6" spans="1:8" ht="16.5" x14ac:dyDescent="0.3">
      <c r="A6" s="91"/>
      <c r="B6" s="303" t="s">
        <v>457</v>
      </c>
      <c r="C6" s="303"/>
      <c r="D6" s="303"/>
      <c r="E6" s="303"/>
      <c r="F6" s="303"/>
      <c r="G6" s="303"/>
      <c r="H6" s="91"/>
    </row>
    <row r="7" spans="1:8" ht="18" x14ac:dyDescent="0.3">
      <c r="A7" s="91"/>
      <c r="B7" s="303" t="s">
        <v>439</v>
      </c>
      <c r="C7" s="303"/>
      <c r="D7" s="303"/>
      <c r="E7" s="303"/>
      <c r="F7" s="303"/>
      <c r="G7" s="303"/>
      <c r="H7" s="91"/>
    </row>
    <row r="8" spans="1:8" ht="16.5" x14ac:dyDescent="0.3">
      <c r="A8" s="91"/>
      <c r="B8" s="304" t="s">
        <v>452</v>
      </c>
      <c r="C8" s="304"/>
      <c r="D8" s="304"/>
      <c r="E8" s="304"/>
      <c r="F8" s="304"/>
      <c r="G8" s="304"/>
      <c r="H8" s="91"/>
    </row>
    <row r="9" spans="1:8" ht="16.5" x14ac:dyDescent="0.3">
      <c r="A9" s="91"/>
      <c r="B9" s="304"/>
      <c r="C9" s="304"/>
      <c r="D9" s="304"/>
      <c r="E9" s="304"/>
      <c r="F9" s="304"/>
      <c r="G9" s="304"/>
      <c r="H9" s="91"/>
    </row>
    <row r="10" spans="1:8" ht="16.5" x14ac:dyDescent="0.3">
      <c r="A10" s="91"/>
      <c r="B10" s="301"/>
      <c r="C10" s="301"/>
      <c r="D10" s="301"/>
      <c r="E10" s="301"/>
      <c r="F10" s="91"/>
      <c r="G10" s="91"/>
      <c r="H10" s="91"/>
    </row>
    <row r="11" spans="1:8" ht="33" customHeight="1" x14ac:dyDescent="0.25">
      <c r="A11" s="152" t="s">
        <v>106</v>
      </c>
      <c r="B11" s="153" t="s">
        <v>0</v>
      </c>
      <c r="C11" s="82" t="s">
        <v>419</v>
      </c>
      <c r="D11" s="82" t="s">
        <v>420</v>
      </c>
      <c r="E11" s="82" t="s">
        <v>454</v>
      </c>
      <c r="F11" s="84"/>
      <c r="G11" s="84"/>
      <c r="H11" s="84"/>
    </row>
    <row r="12" spans="1:8" ht="18" x14ac:dyDescent="0.25">
      <c r="A12" s="154" t="s">
        <v>317</v>
      </c>
      <c r="B12" s="9"/>
      <c r="C12" s="155"/>
      <c r="D12" s="155"/>
      <c r="E12" s="156">
        <f t="shared" ref="E12:E75" si="0">+(D12*2+C12)/3</f>
        <v>0</v>
      </c>
      <c r="F12" s="84"/>
      <c r="G12" s="84"/>
      <c r="H12" s="84"/>
    </row>
    <row r="13" spans="1:8" ht="18" x14ac:dyDescent="0.25">
      <c r="A13" s="154" t="s">
        <v>444</v>
      </c>
      <c r="B13" s="9"/>
      <c r="C13" s="155"/>
      <c r="D13" s="155"/>
      <c r="E13" s="156">
        <f t="shared" si="0"/>
        <v>0</v>
      </c>
      <c r="F13" s="84"/>
      <c r="G13" s="84"/>
      <c r="H13" s="84"/>
    </row>
    <row r="14" spans="1:8" ht="18" x14ac:dyDescent="0.25">
      <c r="A14" s="154" t="s">
        <v>212</v>
      </c>
      <c r="B14" s="9"/>
      <c r="C14" s="155"/>
      <c r="D14" s="155"/>
      <c r="E14" s="156">
        <f t="shared" si="0"/>
        <v>0</v>
      </c>
      <c r="F14" s="84"/>
      <c r="G14" s="84"/>
      <c r="H14" s="84"/>
    </row>
    <row r="15" spans="1:8" ht="18" x14ac:dyDescent="0.25">
      <c r="A15" s="154" t="s">
        <v>213</v>
      </c>
      <c r="B15" s="9"/>
      <c r="C15" s="155"/>
      <c r="D15" s="155"/>
      <c r="E15" s="156">
        <f t="shared" si="0"/>
        <v>0</v>
      </c>
      <c r="F15" s="84"/>
      <c r="G15" s="84"/>
      <c r="H15" s="84"/>
    </row>
    <row r="16" spans="1:8" ht="18" x14ac:dyDescent="0.25">
      <c r="A16" s="154" t="s">
        <v>214</v>
      </c>
      <c r="B16" s="9"/>
      <c r="C16" s="155"/>
      <c r="D16" s="155"/>
      <c r="E16" s="156">
        <f t="shared" si="0"/>
        <v>0</v>
      </c>
      <c r="F16" s="84"/>
      <c r="G16" s="84"/>
      <c r="H16" s="84"/>
    </row>
    <row r="17" spans="1:8" ht="18" x14ac:dyDescent="0.25">
      <c r="A17" s="154" t="s">
        <v>216</v>
      </c>
      <c r="B17" s="9"/>
      <c r="C17" s="155"/>
      <c r="D17" s="155"/>
      <c r="E17" s="156">
        <f t="shared" si="0"/>
        <v>0</v>
      </c>
      <c r="F17" s="84"/>
      <c r="G17" s="84"/>
      <c r="H17" s="84"/>
    </row>
    <row r="18" spans="1:8" ht="18" x14ac:dyDescent="0.25">
      <c r="A18" s="154" t="s">
        <v>217</v>
      </c>
      <c r="B18" s="9"/>
      <c r="C18" s="155"/>
      <c r="D18" s="155"/>
      <c r="E18" s="156">
        <f t="shared" si="0"/>
        <v>0</v>
      </c>
      <c r="F18" s="84"/>
      <c r="G18" s="84"/>
      <c r="H18" s="84"/>
    </row>
    <row r="19" spans="1:8" ht="18" x14ac:dyDescent="0.25">
      <c r="A19" s="154" t="s">
        <v>218</v>
      </c>
      <c r="B19" s="9"/>
      <c r="C19" s="155"/>
      <c r="D19" s="155"/>
      <c r="E19" s="156">
        <f t="shared" si="0"/>
        <v>0</v>
      </c>
      <c r="F19" s="84"/>
      <c r="G19" s="84"/>
      <c r="H19" s="84"/>
    </row>
    <row r="20" spans="1:8" ht="18" x14ac:dyDescent="0.25">
      <c r="A20" s="154" t="s">
        <v>219</v>
      </c>
      <c r="B20" s="9"/>
      <c r="C20" s="155"/>
      <c r="D20" s="155"/>
      <c r="E20" s="156">
        <f t="shared" si="0"/>
        <v>0</v>
      </c>
      <c r="F20" s="84"/>
      <c r="G20" s="84"/>
      <c r="H20" s="84"/>
    </row>
    <row r="21" spans="1:8" ht="18" x14ac:dyDescent="0.25">
      <c r="A21" s="154" t="s">
        <v>220</v>
      </c>
      <c r="B21" s="9"/>
      <c r="C21" s="155"/>
      <c r="D21" s="155"/>
      <c r="E21" s="156">
        <f t="shared" si="0"/>
        <v>0</v>
      </c>
      <c r="F21" s="84"/>
      <c r="G21" s="84"/>
      <c r="H21" s="84"/>
    </row>
    <row r="22" spans="1:8" ht="18" x14ac:dyDescent="0.25">
      <c r="A22" s="154" t="s">
        <v>221</v>
      </c>
      <c r="B22" s="9"/>
      <c r="C22" s="155"/>
      <c r="D22" s="155"/>
      <c r="E22" s="156">
        <f t="shared" si="0"/>
        <v>0</v>
      </c>
      <c r="F22" s="84"/>
      <c r="G22" s="84"/>
      <c r="H22" s="84"/>
    </row>
    <row r="23" spans="1:8" ht="18" x14ac:dyDescent="0.25">
      <c r="A23" s="154" t="s">
        <v>222</v>
      </c>
      <c r="B23" s="9"/>
      <c r="C23" s="155"/>
      <c r="D23" s="155"/>
      <c r="E23" s="156">
        <f t="shared" si="0"/>
        <v>0</v>
      </c>
      <c r="F23" s="84"/>
      <c r="G23" s="84"/>
      <c r="H23" s="84"/>
    </row>
    <row r="24" spans="1:8" ht="18" x14ac:dyDescent="0.25">
      <c r="A24" s="154" t="s">
        <v>223</v>
      </c>
      <c r="B24" s="9"/>
      <c r="C24" s="155"/>
      <c r="D24" s="155"/>
      <c r="E24" s="156">
        <f t="shared" si="0"/>
        <v>0</v>
      </c>
      <c r="F24" s="84"/>
      <c r="G24" s="84"/>
      <c r="H24" s="84"/>
    </row>
    <row r="25" spans="1:8" ht="18" x14ac:dyDescent="0.25">
      <c r="A25" s="154" t="s">
        <v>224</v>
      </c>
      <c r="B25" s="9"/>
      <c r="C25" s="155"/>
      <c r="D25" s="155"/>
      <c r="E25" s="156">
        <f t="shared" si="0"/>
        <v>0</v>
      </c>
      <c r="F25" s="84"/>
      <c r="G25" s="84"/>
      <c r="H25" s="84"/>
    </row>
    <row r="26" spans="1:8" ht="18" x14ac:dyDescent="0.25">
      <c r="A26" s="154" t="s">
        <v>225</v>
      </c>
      <c r="B26" s="9"/>
      <c r="C26" s="155"/>
      <c r="D26" s="155"/>
      <c r="E26" s="156">
        <f t="shared" si="0"/>
        <v>0</v>
      </c>
      <c r="F26" s="84"/>
      <c r="G26" s="84"/>
      <c r="H26" s="84"/>
    </row>
    <row r="27" spans="1:8" ht="18" x14ac:dyDescent="0.25">
      <c r="A27" s="154" t="s">
        <v>226</v>
      </c>
      <c r="B27" s="9"/>
      <c r="C27" s="155"/>
      <c r="D27" s="155"/>
      <c r="E27" s="156">
        <f t="shared" si="0"/>
        <v>0</v>
      </c>
      <c r="F27" s="84"/>
      <c r="G27" s="84"/>
      <c r="H27" s="84"/>
    </row>
    <row r="28" spans="1:8" ht="18" x14ac:dyDescent="0.25">
      <c r="A28" s="154" t="s">
        <v>227</v>
      </c>
      <c r="B28" s="9"/>
      <c r="C28" s="155"/>
      <c r="D28" s="155"/>
      <c r="E28" s="156">
        <f t="shared" si="0"/>
        <v>0</v>
      </c>
      <c r="F28" s="84"/>
      <c r="G28" s="84"/>
      <c r="H28" s="84"/>
    </row>
    <row r="29" spans="1:8" ht="18" x14ac:dyDescent="0.25">
      <c r="A29" s="154" t="s">
        <v>228</v>
      </c>
      <c r="B29" s="9"/>
      <c r="C29" s="155"/>
      <c r="D29" s="155"/>
      <c r="E29" s="156">
        <f t="shared" si="0"/>
        <v>0</v>
      </c>
      <c r="F29" s="84"/>
      <c r="G29" s="84"/>
      <c r="H29" s="84"/>
    </row>
    <row r="30" spans="1:8" ht="18" x14ac:dyDescent="0.25">
      <c r="A30" s="154" t="s">
        <v>229</v>
      </c>
      <c r="B30" s="82"/>
      <c r="C30" s="155"/>
      <c r="D30" s="155"/>
      <c r="E30" s="156">
        <f t="shared" si="0"/>
        <v>0</v>
      </c>
      <c r="F30" s="84"/>
      <c r="G30" s="84"/>
      <c r="H30" s="84"/>
    </row>
    <row r="31" spans="1:8" ht="18" x14ac:dyDescent="0.25">
      <c r="A31" s="154" t="s">
        <v>230</v>
      </c>
      <c r="B31" s="82"/>
      <c r="C31" s="155"/>
      <c r="D31" s="155"/>
      <c r="E31" s="156">
        <f t="shared" si="0"/>
        <v>0</v>
      </c>
      <c r="F31" s="84"/>
      <c r="G31" s="84"/>
      <c r="H31" s="84"/>
    </row>
    <row r="32" spans="1:8" ht="18" x14ac:dyDescent="0.25">
      <c r="A32" s="154" t="s">
        <v>315</v>
      </c>
      <c r="B32" s="82"/>
      <c r="C32" s="155"/>
      <c r="D32" s="155"/>
      <c r="E32" s="156">
        <f t="shared" si="0"/>
        <v>0</v>
      </c>
      <c r="F32" s="84"/>
      <c r="G32" s="84"/>
      <c r="H32" s="84"/>
    </row>
    <row r="33" spans="1:8" ht="18" x14ac:dyDescent="0.25">
      <c r="A33" s="154" t="s">
        <v>232</v>
      </c>
      <c r="B33" s="82"/>
      <c r="C33" s="155"/>
      <c r="D33" s="155"/>
      <c r="E33" s="156">
        <f t="shared" si="0"/>
        <v>0</v>
      </c>
      <c r="F33" s="84"/>
      <c r="G33" s="84"/>
      <c r="H33" s="84"/>
    </row>
    <row r="34" spans="1:8" ht="18" x14ac:dyDescent="0.25">
      <c r="A34" s="154" t="s">
        <v>233</v>
      </c>
      <c r="B34" s="82"/>
      <c r="C34" s="155"/>
      <c r="D34" s="155"/>
      <c r="E34" s="156">
        <f t="shared" si="0"/>
        <v>0</v>
      </c>
      <c r="F34" s="84"/>
      <c r="G34" s="84"/>
      <c r="H34" s="84"/>
    </row>
    <row r="35" spans="1:8" ht="18" x14ac:dyDescent="0.25">
      <c r="A35" s="154" t="s">
        <v>234</v>
      </c>
      <c r="B35" s="82"/>
      <c r="C35" s="155"/>
      <c r="D35" s="155"/>
      <c r="E35" s="156">
        <f t="shared" si="0"/>
        <v>0</v>
      </c>
      <c r="F35" s="84"/>
      <c r="G35" s="84"/>
      <c r="H35" s="84"/>
    </row>
    <row r="36" spans="1:8" ht="18" x14ac:dyDescent="0.25">
      <c r="A36" s="154" t="s">
        <v>235</v>
      </c>
      <c r="B36" s="121"/>
      <c r="C36" s="155"/>
      <c r="D36" s="155"/>
      <c r="E36" s="156">
        <f t="shared" si="0"/>
        <v>0</v>
      </c>
      <c r="F36" s="84"/>
      <c r="G36" s="84"/>
      <c r="H36" s="84"/>
    </row>
    <row r="37" spans="1:8" ht="18" x14ac:dyDescent="0.25">
      <c r="A37" s="154" t="s">
        <v>236</v>
      </c>
      <c r="B37" s="82"/>
      <c r="C37" s="155"/>
      <c r="D37" s="155"/>
      <c r="E37" s="156">
        <f t="shared" si="0"/>
        <v>0</v>
      </c>
      <c r="F37" s="84"/>
      <c r="G37" s="84"/>
      <c r="H37" s="84"/>
    </row>
    <row r="38" spans="1:8" ht="18" x14ac:dyDescent="0.25">
      <c r="A38" s="154" t="s">
        <v>237</v>
      </c>
      <c r="B38" s="82"/>
      <c r="C38" s="155"/>
      <c r="D38" s="155"/>
      <c r="E38" s="156">
        <f t="shared" si="0"/>
        <v>0</v>
      </c>
      <c r="F38" s="84"/>
      <c r="G38" s="84"/>
      <c r="H38" s="84"/>
    </row>
    <row r="39" spans="1:8" ht="18" x14ac:dyDescent="0.25">
      <c r="A39" s="154" t="s">
        <v>238</v>
      </c>
      <c r="B39" s="82"/>
      <c r="C39" s="155"/>
      <c r="D39" s="155"/>
      <c r="E39" s="156">
        <f t="shared" si="0"/>
        <v>0</v>
      </c>
      <c r="F39" s="84"/>
      <c r="G39" s="84"/>
      <c r="H39" s="84"/>
    </row>
    <row r="40" spans="1:8" ht="18" x14ac:dyDescent="0.25">
      <c r="A40" s="154" t="s">
        <v>239</v>
      </c>
      <c r="B40" s="121"/>
      <c r="C40" s="155"/>
      <c r="D40" s="155"/>
      <c r="E40" s="156">
        <f t="shared" si="0"/>
        <v>0</v>
      </c>
      <c r="F40" s="84"/>
      <c r="G40" s="84"/>
      <c r="H40" s="84"/>
    </row>
    <row r="41" spans="1:8" ht="18" x14ac:dyDescent="0.25">
      <c r="A41" s="154" t="s">
        <v>240</v>
      </c>
      <c r="B41" s="82"/>
      <c r="C41" s="155"/>
      <c r="D41" s="155"/>
      <c r="E41" s="156">
        <f t="shared" si="0"/>
        <v>0</v>
      </c>
      <c r="F41" s="84"/>
      <c r="G41" s="84"/>
      <c r="H41" s="84"/>
    </row>
    <row r="42" spans="1:8" ht="18" x14ac:dyDescent="0.25">
      <c r="A42" s="154" t="s">
        <v>314</v>
      </c>
      <c r="B42" s="82"/>
      <c r="C42" s="155"/>
      <c r="D42" s="155"/>
      <c r="E42" s="156">
        <f t="shared" si="0"/>
        <v>0</v>
      </c>
      <c r="F42" s="84"/>
      <c r="G42" s="84"/>
      <c r="H42" s="84"/>
    </row>
    <row r="43" spans="1:8" ht="18" x14ac:dyDescent="0.25">
      <c r="A43" s="154" t="s">
        <v>242</v>
      </c>
      <c r="B43" s="82"/>
      <c r="C43" s="155"/>
      <c r="D43" s="155"/>
      <c r="E43" s="156">
        <f t="shared" si="0"/>
        <v>0</v>
      </c>
      <c r="F43" s="84"/>
      <c r="G43" s="84"/>
      <c r="H43" s="84"/>
    </row>
    <row r="44" spans="1:8" ht="18" x14ac:dyDescent="0.25">
      <c r="A44" s="154" t="s">
        <v>243</v>
      </c>
      <c r="B44" s="82"/>
      <c r="C44" s="155"/>
      <c r="D44" s="155"/>
      <c r="E44" s="156">
        <f t="shared" si="0"/>
        <v>0</v>
      </c>
      <c r="F44" s="84"/>
      <c r="G44" s="84"/>
      <c r="H44" s="84"/>
    </row>
    <row r="45" spans="1:8" ht="18" x14ac:dyDescent="0.25">
      <c r="A45" s="154" t="s">
        <v>244</v>
      </c>
      <c r="B45" s="82"/>
      <c r="C45" s="155"/>
      <c r="D45" s="155"/>
      <c r="E45" s="156">
        <f t="shared" si="0"/>
        <v>0</v>
      </c>
      <c r="F45" s="84"/>
      <c r="G45" s="84"/>
      <c r="H45" s="84"/>
    </row>
    <row r="46" spans="1:8" ht="18" x14ac:dyDescent="0.25">
      <c r="A46" s="154" t="s">
        <v>245</v>
      </c>
      <c r="B46" s="82"/>
      <c r="C46" s="155"/>
      <c r="D46" s="155"/>
      <c r="E46" s="156">
        <f t="shared" si="0"/>
        <v>0</v>
      </c>
      <c r="F46" s="84"/>
      <c r="G46" s="84"/>
      <c r="H46" s="84"/>
    </row>
    <row r="47" spans="1:8" ht="18" x14ac:dyDescent="0.25">
      <c r="A47" s="154" t="s">
        <v>246</v>
      </c>
      <c r="B47" s="82"/>
      <c r="C47" s="155"/>
      <c r="D47" s="155"/>
      <c r="E47" s="156">
        <f t="shared" si="0"/>
        <v>0</v>
      </c>
      <c r="F47" s="84"/>
      <c r="G47" s="84"/>
      <c r="H47" s="84"/>
    </row>
    <row r="48" spans="1:8" ht="18" x14ac:dyDescent="0.25">
      <c r="A48" s="154" t="s">
        <v>247</v>
      </c>
      <c r="B48" s="82"/>
      <c r="C48" s="155"/>
      <c r="D48" s="155"/>
      <c r="E48" s="156">
        <f t="shared" si="0"/>
        <v>0</v>
      </c>
      <c r="F48" s="84"/>
      <c r="G48" s="84"/>
      <c r="H48" s="84"/>
    </row>
    <row r="49" spans="1:8" ht="18" x14ac:dyDescent="0.25">
      <c r="A49" s="154" t="s">
        <v>248</v>
      </c>
      <c r="B49" s="82"/>
      <c r="C49" s="155"/>
      <c r="D49" s="155"/>
      <c r="E49" s="156">
        <f t="shared" si="0"/>
        <v>0</v>
      </c>
      <c r="F49" s="84"/>
      <c r="G49" s="84"/>
      <c r="H49" s="84"/>
    </row>
    <row r="50" spans="1:8" ht="18" x14ac:dyDescent="0.25">
      <c r="A50" s="154" t="s">
        <v>249</v>
      </c>
      <c r="B50" s="82"/>
      <c r="C50" s="155"/>
      <c r="D50" s="155"/>
      <c r="E50" s="156">
        <f t="shared" si="0"/>
        <v>0</v>
      </c>
      <c r="F50" s="84"/>
      <c r="G50" s="84"/>
      <c r="H50" s="84"/>
    </row>
    <row r="51" spans="1:8" ht="18" x14ac:dyDescent="0.25">
      <c r="A51" s="154" t="s">
        <v>250</v>
      </c>
      <c r="B51" s="82"/>
      <c r="C51" s="155"/>
      <c r="D51" s="155"/>
      <c r="E51" s="156">
        <f t="shared" si="0"/>
        <v>0</v>
      </c>
      <c r="F51" s="84"/>
      <c r="G51" s="84"/>
      <c r="H51" s="84"/>
    </row>
    <row r="52" spans="1:8" ht="18" x14ac:dyDescent="0.25">
      <c r="A52" s="154" t="s">
        <v>313</v>
      </c>
      <c r="B52" s="82"/>
      <c r="C52" s="155"/>
      <c r="D52" s="155"/>
      <c r="E52" s="156">
        <f t="shared" si="0"/>
        <v>0</v>
      </c>
      <c r="F52" s="84"/>
      <c r="G52" s="84"/>
      <c r="H52" s="84"/>
    </row>
    <row r="53" spans="1:8" ht="18" x14ac:dyDescent="0.25">
      <c r="A53" s="154" t="s">
        <v>252</v>
      </c>
      <c r="B53" s="82"/>
      <c r="C53" s="155"/>
      <c r="D53" s="155"/>
      <c r="E53" s="156">
        <f t="shared" si="0"/>
        <v>0</v>
      </c>
      <c r="F53" s="84"/>
      <c r="G53" s="84"/>
      <c r="H53" s="84"/>
    </row>
    <row r="54" spans="1:8" ht="18" x14ac:dyDescent="0.25">
      <c r="A54" s="154" t="s">
        <v>253</v>
      </c>
      <c r="B54" s="82"/>
      <c r="C54" s="155"/>
      <c r="D54" s="155"/>
      <c r="E54" s="156">
        <f t="shared" si="0"/>
        <v>0</v>
      </c>
      <c r="F54" s="84"/>
      <c r="G54" s="84"/>
      <c r="H54" s="84"/>
    </row>
    <row r="55" spans="1:8" ht="18" x14ac:dyDescent="0.25">
      <c r="A55" s="154" t="s">
        <v>254</v>
      </c>
      <c r="B55" s="82"/>
      <c r="C55" s="155"/>
      <c r="D55" s="155"/>
      <c r="E55" s="156">
        <f t="shared" si="0"/>
        <v>0</v>
      </c>
      <c r="F55" s="84"/>
      <c r="G55" s="84"/>
      <c r="H55" s="84"/>
    </row>
    <row r="56" spans="1:8" ht="18" x14ac:dyDescent="0.25">
      <c r="A56" s="154" t="s">
        <v>255</v>
      </c>
      <c r="B56" s="82"/>
      <c r="C56" s="155"/>
      <c r="D56" s="155"/>
      <c r="E56" s="156">
        <f t="shared" si="0"/>
        <v>0</v>
      </c>
      <c r="F56" s="84"/>
      <c r="G56" s="84"/>
      <c r="H56" s="84"/>
    </row>
    <row r="57" spans="1:8" ht="18" x14ac:dyDescent="0.25">
      <c r="A57" s="154" t="s">
        <v>256</v>
      </c>
      <c r="B57" s="82"/>
      <c r="C57" s="155"/>
      <c r="D57" s="155"/>
      <c r="E57" s="156">
        <f t="shared" si="0"/>
        <v>0</v>
      </c>
      <c r="F57" s="84"/>
      <c r="G57" s="84"/>
      <c r="H57" s="84"/>
    </row>
    <row r="58" spans="1:8" ht="18" x14ac:dyDescent="0.25">
      <c r="A58" s="154" t="s">
        <v>257</v>
      </c>
      <c r="B58" s="82"/>
      <c r="C58" s="155"/>
      <c r="D58" s="155"/>
      <c r="E58" s="156">
        <f t="shared" si="0"/>
        <v>0</v>
      </c>
      <c r="F58" s="84"/>
      <c r="G58" s="84"/>
      <c r="H58" s="84"/>
    </row>
    <row r="59" spans="1:8" ht="18" x14ac:dyDescent="0.25">
      <c r="A59" s="154" t="s">
        <v>258</v>
      </c>
      <c r="B59" s="82"/>
      <c r="C59" s="155"/>
      <c r="D59" s="155"/>
      <c r="E59" s="156">
        <f t="shared" si="0"/>
        <v>0</v>
      </c>
      <c r="F59" s="84"/>
      <c r="G59" s="84"/>
      <c r="H59" s="84"/>
    </row>
    <row r="60" spans="1:8" ht="18" x14ac:dyDescent="0.25">
      <c r="A60" s="154" t="s">
        <v>259</v>
      </c>
      <c r="B60" s="82"/>
      <c r="C60" s="155"/>
      <c r="D60" s="155"/>
      <c r="E60" s="156">
        <f t="shared" si="0"/>
        <v>0</v>
      </c>
      <c r="F60" s="84"/>
      <c r="G60" s="84"/>
      <c r="H60" s="84"/>
    </row>
    <row r="61" spans="1:8" ht="18" x14ac:dyDescent="0.25">
      <c r="A61" s="154" t="s">
        <v>260</v>
      </c>
      <c r="B61" s="82"/>
      <c r="C61" s="155"/>
      <c r="D61" s="155"/>
      <c r="E61" s="156">
        <f t="shared" si="0"/>
        <v>0</v>
      </c>
      <c r="F61" s="84"/>
      <c r="G61" s="84"/>
      <c r="H61" s="84"/>
    </row>
    <row r="62" spans="1:8" ht="18" x14ac:dyDescent="0.25">
      <c r="A62" s="154" t="s">
        <v>312</v>
      </c>
      <c r="B62" s="82"/>
      <c r="C62" s="155"/>
      <c r="D62" s="155"/>
      <c r="E62" s="156">
        <f t="shared" si="0"/>
        <v>0</v>
      </c>
      <c r="F62" s="84"/>
      <c r="G62" s="84"/>
      <c r="H62" s="84"/>
    </row>
    <row r="63" spans="1:8" ht="18" x14ac:dyDescent="0.25">
      <c r="A63" s="154" t="s">
        <v>262</v>
      </c>
      <c r="B63" s="82"/>
      <c r="C63" s="155"/>
      <c r="D63" s="155"/>
      <c r="E63" s="156">
        <f t="shared" si="0"/>
        <v>0</v>
      </c>
      <c r="F63" s="84"/>
      <c r="G63" s="84"/>
      <c r="H63" s="84"/>
    </row>
    <row r="64" spans="1:8" ht="18" x14ac:dyDescent="0.25">
      <c r="A64" s="154" t="s">
        <v>263</v>
      </c>
      <c r="B64" s="82"/>
      <c r="C64" s="155"/>
      <c r="D64" s="155"/>
      <c r="E64" s="156">
        <f t="shared" si="0"/>
        <v>0</v>
      </c>
      <c r="F64" s="84"/>
      <c r="G64" s="84"/>
      <c r="H64" s="84"/>
    </row>
    <row r="65" spans="1:8" ht="18" x14ac:dyDescent="0.25">
      <c r="A65" s="154" t="s">
        <v>264</v>
      </c>
      <c r="B65" s="82"/>
      <c r="C65" s="155"/>
      <c r="D65" s="155"/>
      <c r="E65" s="156">
        <f t="shared" si="0"/>
        <v>0</v>
      </c>
      <c r="F65" s="84"/>
      <c r="G65" s="84"/>
      <c r="H65" s="84"/>
    </row>
    <row r="66" spans="1:8" ht="18" x14ac:dyDescent="0.25">
      <c r="A66" s="154" t="s">
        <v>265</v>
      </c>
      <c r="B66" s="82"/>
      <c r="C66" s="155"/>
      <c r="D66" s="155"/>
      <c r="E66" s="156">
        <f t="shared" si="0"/>
        <v>0</v>
      </c>
      <c r="F66" s="84"/>
      <c r="G66" s="84"/>
      <c r="H66" s="84"/>
    </row>
    <row r="67" spans="1:8" ht="18" x14ac:dyDescent="0.25">
      <c r="A67" s="154" t="s">
        <v>266</v>
      </c>
      <c r="B67" s="82"/>
      <c r="C67" s="155"/>
      <c r="D67" s="155"/>
      <c r="E67" s="156">
        <f t="shared" si="0"/>
        <v>0</v>
      </c>
      <c r="F67" s="84"/>
      <c r="G67" s="84"/>
      <c r="H67" s="84"/>
    </row>
    <row r="68" spans="1:8" ht="18" x14ac:dyDescent="0.25">
      <c r="A68" s="154" t="s">
        <v>267</v>
      </c>
      <c r="B68" s="82"/>
      <c r="C68" s="155"/>
      <c r="D68" s="155"/>
      <c r="E68" s="156">
        <f t="shared" si="0"/>
        <v>0</v>
      </c>
      <c r="F68" s="84"/>
      <c r="G68" s="84"/>
      <c r="H68" s="84"/>
    </row>
    <row r="69" spans="1:8" ht="18" x14ac:dyDescent="0.25">
      <c r="A69" s="154" t="s">
        <v>268</v>
      </c>
      <c r="B69" s="82"/>
      <c r="C69" s="155"/>
      <c r="D69" s="155"/>
      <c r="E69" s="156">
        <f t="shared" si="0"/>
        <v>0</v>
      </c>
      <c r="F69" s="84"/>
      <c r="G69" s="84"/>
      <c r="H69" s="84"/>
    </row>
    <row r="70" spans="1:8" ht="18" x14ac:dyDescent="0.25">
      <c r="A70" s="154" t="s">
        <v>269</v>
      </c>
      <c r="B70" s="82"/>
      <c r="C70" s="155"/>
      <c r="D70" s="155"/>
      <c r="E70" s="156">
        <f t="shared" si="0"/>
        <v>0</v>
      </c>
      <c r="F70" s="84"/>
      <c r="G70" s="84"/>
      <c r="H70" s="84"/>
    </row>
    <row r="71" spans="1:8" ht="18" x14ac:dyDescent="0.25">
      <c r="A71" s="154" t="s">
        <v>270</v>
      </c>
      <c r="B71" s="82"/>
      <c r="C71" s="155"/>
      <c r="D71" s="155"/>
      <c r="E71" s="156">
        <f t="shared" si="0"/>
        <v>0</v>
      </c>
      <c r="F71" s="84"/>
      <c r="G71" s="84"/>
      <c r="H71" s="84"/>
    </row>
    <row r="72" spans="1:8" ht="18" x14ac:dyDescent="0.25">
      <c r="A72" s="154" t="s">
        <v>389</v>
      </c>
      <c r="B72" s="82"/>
      <c r="C72" s="155"/>
      <c r="D72" s="155"/>
      <c r="E72" s="156">
        <f t="shared" si="0"/>
        <v>0</v>
      </c>
      <c r="F72" s="84"/>
      <c r="G72" s="84"/>
      <c r="H72" s="84"/>
    </row>
    <row r="73" spans="1:8" ht="18" x14ac:dyDescent="0.25">
      <c r="A73" s="154" t="s">
        <v>272</v>
      </c>
      <c r="B73" s="82"/>
      <c r="C73" s="155"/>
      <c r="D73" s="155"/>
      <c r="E73" s="156">
        <f t="shared" si="0"/>
        <v>0</v>
      </c>
      <c r="F73" s="84"/>
      <c r="G73" s="84"/>
      <c r="H73" s="84"/>
    </row>
    <row r="74" spans="1:8" ht="18" x14ac:dyDescent="0.25">
      <c r="A74" s="154" t="s">
        <v>273</v>
      </c>
      <c r="B74" s="82"/>
      <c r="C74" s="155"/>
      <c r="D74" s="155"/>
      <c r="E74" s="156">
        <f t="shared" si="0"/>
        <v>0</v>
      </c>
      <c r="F74" s="84"/>
      <c r="G74" s="84"/>
      <c r="H74" s="84"/>
    </row>
    <row r="75" spans="1:8" ht="18" x14ac:dyDescent="0.3">
      <c r="A75" s="154" t="s">
        <v>274</v>
      </c>
      <c r="B75" s="87"/>
      <c r="C75" s="155"/>
      <c r="D75" s="155"/>
      <c r="E75" s="156">
        <f t="shared" si="0"/>
        <v>0</v>
      </c>
      <c r="F75" s="84"/>
      <c r="G75" s="84"/>
      <c r="H75" s="84"/>
    </row>
    <row r="76" spans="1:8" ht="18" x14ac:dyDescent="0.25">
      <c r="A76" s="154" t="s">
        <v>275</v>
      </c>
      <c r="B76" s="82"/>
      <c r="C76" s="155"/>
      <c r="D76" s="155"/>
      <c r="E76" s="156">
        <f t="shared" ref="E76:E91" si="1">+(D76*2+C76)/3</f>
        <v>0</v>
      </c>
      <c r="F76" s="84"/>
      <c r="G76" s="84"/>
      <c r="H76" s="84"/>
    </row>
    <row r="77" spans="1:8" ht="18" x14ac:dyDescent="0.25">
      <c r="A77" s="154" t="s">
        <v>276</v>
      </c>
      <c r="B77" s="82"/>
      <c r="C77" s="155"/>
      <c r="D77" s="155"/>
      <c r="E77" s="156">
        <f t="shared" si="1"/>
        <v>0</v>
      </c>
      <c r="F77" s="84"/>
      <c r="G77" s="84"/>
      <c r="H77" s="84"/>
    </row>
    <row r="78" spans="1:8" ht="18" x14ac:dyDescent="0.3">
      <c r="A78" s="154" t="s">
        <v>277</v>
      </c>
      <c r="B78" s="87"/>
      <c r="C78" s="155"/>
      <c r="D78" s="155"/>
      <c r="E78" s="156">
        <f t="shared" si="1"/>
        <v>0</v>
      </c>
      <c r="F78" s="84"/>
      <c r="G78" s="84"/>
      <c r="H78" s="84"/>
    </row>
    <row r="79" spans="1:8" ht="18" x14ac:dyDescent="0.25">
      <c r="A79" s="154" t="s">
        <v>278</v>
      </c>
      <c r="B79" s="82"/>
      <c r="C79" s="155"/>
      <c r="D79" s="155"/>
      <c r="E79" s="156">
        <f t="shared" si="1"/>
        <v>0</v>
      </c>
      <c r="F79" s="84"/>
      <c r="G79" s="84"/>
      <c r="H79" s="84"/>
    </row>
    <row r="80" spans="1:8" ht="18" x14ac:dyDescent="0.25">
      <c r="A80" s="154" t="s">
        <v>279</v>
      </c>
      <c r="B80" s="82"/>
      <c r="C80" s="155"/>
      <c r="D80" s="155"/>
      <c r="E80" s="156">
        <f t="shared" si="1"/>
        <v>0</v>
      </c>
      <c r="F80" s="84"/>
      <c r="G80" s="84"/>
      <c r="H80" s="84"/>
    </row>
    <row r="81" spans="1:8" ht="18" x14ac:dyDescent="0.25">
      <c r="A81" s="154" t="s">
        <v>280</v>
      </c>
      <c r="B81" s="82"/>
      <c r="C81" s="155"/>
      <c r="D81" s="155"/>
      <c r="E81" s="156">
        <f t="shared" si="1"/>
        <v>0</v>
      </c>
      <c r="F81" s="84"/>
      <c r="G81" s="84"/>
      <c r="H81" s="84"/>
    </row>
    <row r="82" spans="1:8" ht="18" x14ac:dyDescent="0.25">
      <c r="A82" s="154" t="s">
        <v>316</v>
      </c>
      <c r="B82" s="82"/>
      <c r="C82" s="155"/>
      <c r="D82" s="155"/>
      <c r="E82" s="156">
        <f t="shared" si="1"/>
        <v>0</v>
      </c>
      <c r="F82" s="84"/>
      <c r="G82" s="84"/>
      <c r="H82" s="84"/>
    </row>
    <row r="83" spans="1:8" ht="18" x14ac:dyDescent="0.25">
      <c r="A83" s="154" t="s">
        <v>282</v>
      </c>
      <c r="B83" s="82"/>
      <c r="C83" s="155"/>
      <c r="D83" s="155"/>
      <c r="E83" s="156">
        <f t="shared" si="1"/>
        <v>0</v>
      </c>
      <c r="F83" s="84"/>
      <c r="G83" s="84"/>
      <c r="H83" s="84"/>
    </row>
    <row r="84" spans="1:8" ht="18" x14ac:dyDescent="0.25">
      <c r="A84" s="154" t="s">
        <v>283</v>
      </c>
      <c r="B84" s="82"/>
      <c r="C84" s="155"/>
      <c r="D84" s="155"/>
      <c r="E84" s="156">
        <f t="shared" si="1"/>
        <v>0</v>
      </c>
      <c r="F84" s="84"/>
      <c r="G84" s="84"/>
      <c r="H84" s="84"/>
    </row>
    <row r="85" spans="1:8" ht="18" x14ac:dyDescent="0.25">
      <c r="A85" s="154" t="s">
        <v>284</v>
      </c>
      <c r="B85" s="82"/>
      <c r="C85" s="155"/>
      <c r="D85" s="155"/>
      <c r="E85" s="156">
        <f t="shared" si="1"/>
        <v>0</v>
      </c>
      <c r="F85" s="84"/>
      <c r="G85" s="84"/>
      <c r="H85" s="84"/>
    </row>
    <row r="86" spans="1:8" ht="18" x14ac:dyDescent="0.25">
      <c r="A86" s="154" t="s">
        <v>285</v>
      </c>
      <c r="B86" s="82"/>
      <c r="C86" s="155"/>
      <c r="D86" s="155"/>
      <c r="E86" s="156">
        <f t="shared" si="1"/>
        <v>0</v>
      </c>
      <c r="F86" s="84"/>
      <c r="G86" s="84"/>
      <c r="H86" s="84"/>
    </row>
    <row r="87" spans="1:8" ht="18" x14ac:dyDescent="0.25">
      <c r="A87" s="154" t="s">
        <v>286</v>
      </c>
      <c r="B87" s="82"/>
      <c r="C87" s="155"/>
      <c r="D87" s="155"/>
      <c r="E87" s="156">
        <f t="shared" si="1"/>
        <v>0</v>
      </c>
      <c r="F87" s="84"/>
      <c r="G87" s="84"/>
      <c r="H87" s="84"/>
    </row>
    <row r="88" spans="1:8" ht="18" x14ac:dyDescent="0.25">
      <c r="A88" s="154" t="s">
        <v>287</v>
      </c>
      <c r="B88" s="82"/>
      <c r="C88" s="155"/>
      <c r="D88" s="155"/>
      <c r="E88" s="156">
        <f t="shared" si="1"/>
        <v>0</v>
      </c>
      <c r="F88" s="84"/>
      <c r="G88" s="84"/>
      <c r="H88" s="84"/>
    </row>
    <row r="89" spans="1:8" ht="18" x14ac:dyDescent="0.25">
      <c r="A89" s="154" t="s">
        <v>288</v>
      </c>
      <c r="B89" s="82"/>
      <c r="C89" s="155"/>
      <c r="D89" s="155"/>
      <c r="E89" s="156">
        <f t="shared" si="1"/>
        <v>0</v>
      </c>
      <c r="F89" s="84"/>
      <c r="G89" s="84"/>
      <c r="H89" s="84"/>
    </row>
    <row r="90" spans="1:8" ht="18" x14ac:dyDescent="0.25">
      <c r="A90" s="154" t="s">
        <v>289</v>
      </c>
      <c r="B90" s="82"/>
      <c r="C90" s="155"/>
      <c r="D90" s="155"/>
      <c r="E90" s="156">
        <f t="shared" si="1"/>
        <v>0</v>
      </c>
      <c r="F90" s="84"/>
      <c r="G90" s="84"/>
      <c r="H90" s="84"/>
    </row>
    <row r="91" spans="1:8" ht="18" x14ac:dyDescent="0.25">
      <c r="A91" s="154" t="s">
        <v>290</v>
      </c>
      <c r="B91" s="82"/>
      <c r="C91" s="155"/>
      <c r="D91" s="155"/>
      <c r="E91" s="156">
        <f t="shared" si="1"/>
        <v>0</v>
      </c>
      <c r="F91" s="84"/>
      <c r="G91" s="84"/>
      <c r="H91" s="84"/>
    </row>
    <row r="92" spans="1:8" ht="16.5" x14ac:dyDescent="0.25">
      <c r="A92" s="157"/>
      <c r="B92" s="121"/>
      <c r="C92" s="158"/>
      <c r="D92" s="158"/>
      <c r="E92" s="159"/>
      <c r="F92" s="84"/>
      <c r="G92" s="84"/>
      <c r="H92" s="84"/>
    </row>
    <row r="93" spans="1:8" ht="16.5" x14ac:dyDescent="0.25">
      <c r="A93" s="157"/>
      <c r="B93" s="121"/>
      <c r="C93" s="158"/>
      <c r="D93" s="158"/>
      <c r="E93" s="159"/>
      <c r="F93" s="84"/>
      <c r="G93" s="84"/>
      <c r="H93" s="84"/>
    </row>
    <row r="94" spans="1:8" ht="16.5" x14ac:dyDescent="0.25">
      <c r="A94" s="157"/>
      <c r="B94" s="121"/>
      <c r="C94" s="158"/>
      <c r="D94" s="158"/>
      <c r="E94" s="159"/>
      <c r="F94" s="84"/>
      <c r="G94" s="84"/>
      <c r="H94" s="84"/>
    </row>
    <row r="95" spans="1:8" ht="16.5" x14ac:dyDescent="0.3">
      <c r="A95" s="77"/>
      <c r="B95" s="85"/>
      <c r="C95" s="91"/>
      <c r="D95" s="91"/>
      <c r="E95" s="91"/>
      <c r="F95" s="84"/>
      <c r="G95" s="84"/>
      <c r="H95" s="84"/>
    </row>
    <row r="96" spans="1:8" ht="16.5" x14ac:dyDescent="0.3">
      <c r="A96" s="91"/>
      <c r="B96" s="291" t="s">
        <v>392</v>
      </c>
      <c r="C96" s="291"/>
      <c r="D96" s="291"/>
      <c r="E96" s="291"/>
      <c r="F96" s="86"/>
      <c r="G96" s="79"/>
      <c r="H96" s="79"/>
    </row>
    <row r="97" spans="1:8" ht="16.5" x14ac:dyDescent="0.3">
      <c r="A97" s="91"/>
      <c r="B97" s="91"/>
      <c r="C97" s="91"/>
      <c r="D97" s="91"/>
      <c r="E97" s="91"/>
      <c r="F97" s="86"/>
      <c r="G97" s="84"/>
      <c r="H97" s="84"/>
    </row>
    <row r="98" spans="1:8" ht="16.5" x14ac:dyDescent="0.3">
      <c r="A98" s="91"/>
      <c r="B98" s="91"/>
      <c r="C98" s="87" t="s">
        <v>393</v>
      </c>
      <c r="D98" s="87" t="s">
        <v>394</v>
      </c>
      <c r="E98" s="87" t="s">
        <v>395</v>
      </c>
      <c r="F98" s="86"/>
      <c r="G98" s="84"/>
      <c r="H98" s="84"/>
    </row>
    <row r="99" spans="1:8" ht="16.5" x14ac:dyDescent="0.3">
      <c r="A99" s="91"/>
      <c r="B99" s="88" t="s">
        <v>396</v>
      </c>
      <c r="C99" s="89">
        <v>41</v>
      </c>
      <c r="D99" s="89">
        <v>39</v>
      </c>
      <c r="E99" s="89">
        <f>SUM(C99:D99)</f>
        <v>80</v>
      </c>
      <c r="F99" s="86"/>
      <c r="G99" s="84"/>
      <c r="H99" s="84"/>
    </row>
    <row r="100" spans="1:8" ht="16.5" x14ac:dyDescent="0.3">
      <c r="A100" s="91"/>
      <c r="B100" s="87" t="s">
        <v>397</v>
      </c>
      <c r="C100" s="89">
        <v>27</v>
      </c>
      <c r="D100" s="89">
        <v>17</v>
      </c>
      <c r="E100" s="89">
        <f>SUM(C100:D100)</f>
        <v>44</v>
      </c>
      <c r="F100" s="86"/>
      <c r="G100" s="84"/>
      <c r="H100" s="84"/>
    </row>
    <row r="101" spans="1:8" ht="16.5" x14ac:dyDescent="0.3">
      <c r="A101" s="91"/>
      <c r="B101" s="87" t="s">
        <v>398</v>
      </c>
      <c r="C101" s="89">
        <v>14</v>
      </c>
      <c r="D101" s="89">
        <v>22</v>
      </c>
      <c r="E101" s="89">
        <f>SUM(C101:D101)</f>
        <v>36</v>
      </c>
      <c r="F101" s="86"/>
      <c r="G101" s="79"/>
      <c r="H101" s="79"/>
    </row>
    <row r="102" spans="1:8" ht="16.5" x14ac:dyDescent="0.3">
      <c r="A102" s="91"/>
      <c r="B102" s="87" t="s">
        <v>399</v>
      </c>
      <c r="C102" s="89">
        <v>15</v>
      </c>
      <c r="D102" s="89">
        <v>14</v>
      </c>
      <c r="E102" s="89">
        <f>SUM(C102:D102)</f>
        <v>29</v>
      </c>
      <c r="F102" s="86"/>
      <c r="G102" s="91"/>
      <c r="H102" s="91"/>
    </row>
    <row r="103" spans="1:8" ht="16.5" x14ac:dyDescent="0.3">
      <c r="A103" s="91"/>
      <c r="B103" s="87" t="s">
        <v>400</v>
      </c>
      <c r="C103" s="89">
        <v>26</v>
      </c>
      <c r="D103" s="89">
        <v>22</v>
      </c>
      <c r="E103" s="89">
        <f>SUM(C103:D103)</f>
        <v>48</v>
      </c>
      <c r="F103" s="86"/>
      <c r="G103" s="91"/>
      <c r="H103" s="91"/>
    </row>
    <row r="104" spans="1:8" ht="16.5" x14ac:dyDescent="0.3">
      <c r="A104" s="91"/>
      <c r="B104" s="87" t="s">
        <v>401</v>
      </c>
      <c r="C104" s="90">
        <f>+C102/C99</f>
        <v>0.36585365853658536</v>
      </c>
      <c r="D104" s="90">
        <f>+D102/D99</f>
        <v>0.35897435897435898</v>
      </c>
      <c r="E104" s="90">
        <f>+E102/E99</f>
        <v>0.36249999999999999</v>
      </c>
      <c r="F104" s="86"/>
      <c r="G104" s="91"/>
      <c r="H104" s="91"/>
    </row>
    <row r="105" spans="1:8" ht="16.5" x14ac:dyDescent="0.3">
      <c r="A105" s="86"/>
      <c r="B105" s="86"/>
      <c r="C105" s="86"/>
      <c r="D105" s="86"/>
      <c r="E105" s="86"/>
      <c r="F105" s="86"/>
      <c r="G105" s="91"/>
      <c r="H105" s="91"/>
    </row>
    <row r="106" spans="1:8" ht="16.5" x14ac:dyDescent="0.3">
      <c r="A106" s="91"/>
      <c r="B106" s="91"/>
      <c r="C106" s="91"/>
      <c r="D106" s="77" t="s">
        <v>418</v>
      </c>
      <c r="E106" s="77"/>
      <c r="F106" s="143"/>
      <c r="G106" s="91"/>
      <c r="H106" s="91"/>
    </row>
    <row r="107" spans="1:8" ht="16.5" x14ac:dyDescent="0.3">
      <c r="A107" s="91"/>
      <c r="B107" s="91"/>
      <c r="C107" s="91"/>
      <c r="D107" s="91"/>
      <c r="E107" s="91"/>
      <c r="F107" s="86"/>
      <c r="G107" s="91"/>
      <c r="H107" s="91"/>
    </row>
    <row r="108" spans="1:8" ht="16.5" x14ac:dyDescent="0.3">
      <c r="A108" s="303" t="s">
        <v>403</v>
      </c>
      <c r="B108" s="303"/>
      <c r="C108" s="77"/>
      <c r="D108" s="77"/>
      <c r="E108" s="77" t="s">
        <v>404</v>
      </c>
      <c r="F108" s="143"/>
      <c r="G108" s="91"/>
      <c r="H108" s="91"/>
    </row>
    <row r="109" spans="1:8" ht="16.5" x14ac:dyDescent="0.3">
      <c r="A109" s="91"/>
      <c r="B109" s="91"/>
      <c r="C109" s="91"/>
      <c r="D109" s="91"/>
      <c r="E109" s="91"/>
      <c r="F109" s="86"/>
      <c r="G109" s="91"/>
      <c r="H109" s="91"/>
    </row>
    <row r="110" spans="1:8" ht="16.5" x14ac:dyDescent="0.3">
      <c r="A110" s="91"/>
      <c r="B110" s="91"/>
      <c r="C110" s="91"/>
      <c r="D110" s="91"/>
      <c r="E110" s="91"/>
      <c r="F110" s="86"/>
      <c r="G110" s="91"/>
      <c r="H110" s="91"/>
    </row>
    <row r="111" spans="1:8" ht="16.5" x14ac:dyDescent="0.3">
      <c r="A111" s="91"/>
      <c r="B111" s="91"/>
      <c r="C111" s="91"/>
      <c r="D111" s="91"/>
      <c r="E111" s="91"/>
      <c r="F111" s="86"/>
      <c r="G111" s="91"/>
      <c r="H111" s="91"/>
    </row>
    <row r="112" spans="1:8" ht="16.5" x14ac:dyDescent="0.3">
      <c r="A112" s="303" t="s">
        <v>422</v>
      </c>
      <c r="B112" s="303"/>
      <c r="C112" s="77"/>
      <c r="D112" s="77"/>
      <c r="E112" s="77" t="s">
        <v>8</v>
      </c>
      <c r="F112" s="143"/>
      <c r="G112" s="91"/>
      <c r="H112" s="91"/>
    </row>
    <row r="113" spans="1:8" ht="16.5" x14ac:dyDescent="0.3">
      <c r="A113" s="91"/>
      <c r="B113" s="85"/>
      <c r="C113" s="91"/>
      <c r="D113" s="91"/>
      <c r="E113" s="91"/>
      <c r="F113" s="91"/>
      <c r="G113" s="91"/>
      <c r="H113" s="91"/>
    </row>
  </sheetData>
  <mergeCells count="9">
    <mergeCell ref="B96:E96"/>
    <mergeCell ref="A108:B108"/>
    <mergeCell ref="A112:B112"/>
    <mergeCell ref="C2:E2"/>
    <mergeCell ref="C3:E3"/>
    <mergeCell ref="B6:G6"/>
    <mergeCell ref="B7:G7"/>
    <mergeCell ref="B8:G9"/>
    <mergeCell ref="B10:E10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I113"/>
  <sheetViews>
    <sheetView topLeftCell="A19" workbookViewId="0">
      <selection activeCell="C19" sqref="C19"/>
    </sheetView>
  </sheetViews>
  <sheetFormatPr baseColWidth="10" defaultRowHeight="15" x14ac:dyDescent="0.25"/>
  <cols>
    <col min="1" max="1" width="6.140625" customWidth="1"/>
    <col min="2" max="2" width="35.28515625" customWidth="1"/>
    <col min="3" max="3" width="12" customWidth="1"/>
    <col min="4" max="4" width="14" customWidth="1"/>
  </cols>
  <sheetData>
    <row r="1" spans="1:8" ht="16.5" x14ac:dyDescent="0.3">
      <c r="A1" s="109"/>
      <c r="B1" s="103"/>
      <c r="C1" s="109"/>
      <c r="D1" s="109"/>
      <c r="E1" s="109"/>
      <c r="F1" s="109"/>
      <c r="G1" s="109"/>
      <c r="H1" s="109"/>
    </row>
    <row r="2" spans="1:8" ht="20.25" x14ac:dyDescent="0.3">
      <c r="A2" s="92"/>
      <c r="B2" s="266"/>
      <c r="C2" s="267" t="s">
        <v>5</v>
      </c>
      <c r="D2" s="267"/>
      <c r="E2" s="267"/>
      <c r="F2" s="266"/>
      <c r="G2" s="266"/>
      <c r="H2" s="109"/>
    </row>
    <row r="3" spans="1:8" ht="20.25" x14ac:dyDescent="0.3">
      <c r="A3" s="1" t="s">
        <v>929</v>
      </c>
      <c r="B3" s="6"/>
      <c r="C3" s="31" t="s">
        <v>5</v>
      </c>
      <c r="D3" s="31"/>
      <c r="E3" s="31"/>
      <c r="F3" s="2"/>
      <c r="G3" s="2"/>
      <c r="H3" s="109"/>
    </row>
    <row r="4" spans="1:8" ht="16.5" x14ac:dyDescent="0.3">
      <c r="A4" s="1" t="s">
        <v>930</v>
      </c>
      <c r="B4" s="6"/>
      <c r="C4" s="276" t="s">
        <v>6</v>
      </c>
      <c r="D4" s="276"/>
      <c r="E4" s="276"/>
      <c r="F4" s="2"/>
      <c r="G4" s="2"/>
      <c r="H4" s="109"/>
    </row>
    <row r="5" spans="1:8" ht="16.5" x14ac:dyDescent="0.3">
      <c r="A5" s="1" t="s">
        <v>931</v>
      </c>
      <c r="B5" s="6"/>
      <c r="C5" s="2"/>
      <c r="D5" s="2"/>
      <c r="E5" s="2"/>
      <c r="F5" s="2"/>
      <c r="G5" s="2"/>
      <c r="H5" s="109"/>
    </row>
    <row r="6" spans="1:8" ht="16.5" x14ac:dyDescent="0.3">
      <c r="A6" s="1" t="s">
        <v>932</v>
      </c>
      <c r="B6" s="6"/>
      <c r="C6" s="2"/>
      <c r="D6" s="3"/>
      <c r="E6" s="3"/>
      <c r="F6" s="2"/>
      <c r="G6" s="2"/>
      <c r="H6" s="109"/>
    </row>
    <row r="7" spans="1:8" ht="18.75" x14ac:dyDescent="0.3">
      <c r="A7" s="2"/>
      <c r="B7" s="283" t="s">
        <v>1047</v>
      </c>
      <c r="C7" s="283"/>
      <c r="D7" s="283"/>
      <c r="E7" s="283"/>
      <c r="F7" s="283"/>
      <c r="G7" s="283"/>
      <c r="H7" s="109"/>
    </row>
    <row r="8" spans="1:8" ht="21" x14ac:dyDescent="0.3">
      <c r="A8" s="2"/>
      <c r="B8" s="4"/>
      <c r="C8" s="283" t="s">
        <v>1159</v>
      </c>
      <c r="D8" s="283"/>
      <c r="E8" s="283"/>
      <c r="F8" s="283"/>
      <c r="G8" s="283"/>
      <c r="H8" s="109"/>
    </row>
    <row r="9" spans="1:8" ht="16.5" customHeight="1" x14ac:dyDescent="0.3">
      <c r="A9" s="284" t="s">
        <v>1046</v>
      </c>
      <c r="B9" s="284"/>
      <c r="C9" s="284"/>
      <c r="D9" s="284"/>
      <c r="E9" s="284"/>
      <c r="F9" s="284"/>
      <c r="G9" s="284"/>
      <c r="H9" s="109"/>
    </row>
    <row r="10" spans="1:8" ht="16.5" x14ac:dyDescent="0.3">
      <c r="A10" s="284"/>
      <c r="B10" s="284"/>
      <c r="C10" s="284"/>
      <c r="D10" s="284"/>
      <c r="E10" s="284"/>
      <c r="F10" s="284"/>
      <c r="G10" s="284"/>
      <c r="H10" s="109"/>
    </row>
    <row r="11" spans="1:8" ht="35.25" customHeight="1" x14ac:dyDescent="0.25">
      <c r="A11" s="160" t="s">
        <v>106</v>
      </c>
      <c r="B11" s="161" t="s">
        <v>0</v>
      </c>
      <c r="C11" s="173" t="s">
        <v>210</v>
      </c>
      <c r="D11" s="173" t="s">
        <v>445</v>
      </c>
      <c r="E11" s="173" t="s">
        <v>446</v>
      </c>
      <c r="F11" s="98"/>
      <c r="G11" s="98"/>
      <c r="H11" s="98"/>
    </row>
    <row r="12" spans="1:8" ht="18" x14ac:dyDescent="0.25">
      <c r="A12" s="162" t="s">
        <v>317</v>
      </c>
      <c r="B12" s="9" t="s">
        <v>763</v>
      </c>
      <c r="C12" s="208">
        <v>14.771929824561402</v>
      </c>
      <c r="D12" s="208">
        <v>14.346491228070176</v>
      </c>
      <c r="E12" s="207">
        <f t="shared" ref="E12:E33" si="0">SUM(C12+D12)/2</f>
        <v>14.559210526315789</v>
      </c>
      <c r="F12" s="98"/>
      <c r="G12" s="98"/>
      <c r="H12" s="98"/>
    </row>
    <row r="13" spans="1:8" ht="18" x14ac:dyDescent="0.25">
      <c r="A13" s="162" t="s">
        <v>212</v>
      </c>
      <c r="B13" s="9" t="s">
        <v>754</v>
      </c>
      <c r="C13" s="208">
        <v>14.780701754385964</v>
      </c>
      <c r="D13" s="208">
        <v>13.934210526315789</v>
      </c>
      <c r="E13" s="207">
        <f t="shared" si="0"/>
        <v>14.357456140350877</v>
      </c>
      <c r="F13" s="98"/>
      <c r="G13" s="98"/>
      <c r="H13" s="98"/>
    </row>
    <row r="14" spans="1:8" ht="18" x14ac:dyDescent="0.25">
      <c r="A14" s="162" t="s">
        <v>213</v>
      </c>
      <c r="B14" s="9" t="s">
        <v>765</v>
      </c>
      <c r="C14" s="208">
        <v>13.896929824561402</v>
      </c>
      <c r="D14" s="208">
        <v>14.662280701754385</v>
      </c>
      <c r="E14" s="207">
        <f t="shared" si="0"/>
        <v>14.279605263157894</v>
      </c>
      <c r="G14" s="98"/>
      <c r="H14" s="98"/>
    </row>
    <row r="15" spans="1:8" ht="18" x14ac:dyDescent="0.25">
      <c r="A15" s="162" t="s">
        <v>214</v>
      </c>
      <c r="B15" s="9" t="s">
        <v>753</v>
      </c>
      <c r="C15" s="208">
        <v>13.949561403508772</v>
      </c>
      <c r="D15" s="208">
        <v>13.769736842105265</v>
      </c>
      <c r="E15" s="207">
        <f t="shared" si="0"/>
        <v>13.859649122807019</v>
      </c>
      <c r="G15" s="98"/>
      <c r="H15" s="98"/>
    </row>
    <row r="16" spans="1:8" ht="18" x14ac:dyDescent="0.25">
      <c r="A16" s="162" t="s">
        <v>215</v>
      </c>
      <c r="B16" s="9" t="s">
        <v>750</v>
      </c>
      <c r="C16" s="208">
        <v>13.589912280701753</v>
      </c>
      <c r="D16" s="208">
        <v>13.368421052631581</v>
      </c>
      <c r="E16" s="207">
        <f t="shared" si="0"/>
        <v>13.479166666666668</v>
      </c>
      <c r="F16" s="98"/>
      <c r="G16" s="98"/>
      <c r="H16" s="98"/>
    </row>
    <row r="17" spans="1:9" ht="18" x14ac:dyDescent="0.25">
      <c r="A17" s="162" t="s">
        <v>216</v>
      </c>
      <c r="B17" s="9" t="s">
        <v>761</v>
      </c>
      <c r="C17" s="208">
        <v>12.67763157894737</v>
      </c>
      <c r="D17" s="270">
        <v>12.703947368421053</v>
      </c>
      <c r="E17" s="207">
        <f t="shared" si="0"/>
        <v>12.690789473684212</v>
      </c>
      <c r="F17" s="98"/>
      <c r="G17" s="98"/>
      <c r="H17" s="98"/>
    </row>
    <row r="18" spans="1:9" ht="18" x14ac:dyDescent="0.25">
      <c r="A18" s="162" t="s">
        <v>217</v>
      </c>
      <c r="B18" s="9" t="s">
        <v>747</v>
      </c>
      <c r="C18" s="208">
        <v>12.622807017543858</v>
      </c>
      <c r="D18" s="208">
        <v>12.368421052631581</v>
      </c>
      <c r="E18" s="207">
        <f t="shared" si="0"/>
        <v>12.495614035087719</v>
      </c>
      <c r="F18" s="98"/>
      <c r="G18" s="98"/>
      <c r="H18" s="98"/>
    </row>
    <row r="19" spans="1:9" ht="18" x14ac:dyDescent="0.25">
      <c r="A19" s="162" t="s">
        <v>218</v>
      </c>
      <c r="B19" s="9" t="s">
        <v>768</v>
      </c>
      <c r="C19" s="208">
        <v>13.232456140350877</v>
      </c>
      <c r="D19" s="208">
        <v>11.366228070175438</v>
      </c>
      <c r="E19" s="207">
        <f t="shared" si="0"/>
        <v>12.299342105263158</v>
      </c>
      <c r="F19" s="98"/>
      <c r="G19" s="98"/>
      <c r="H19" s="98"/>
    </row>
    <row r="20" spans="1:9" ht="18" x14ac:dyDescent="0.25">
      <c r="A20" s="162" t="s">
        <v>219</v>
      </c>
      <c r="B20" s="9" t="s">
        <v>762</v>
      </c>
      <c r="C20" s="208">
        <v>12.017543859649123</v>
      </c>
      <c r="D20" s="208">
        <v>12.478070175438598</v>
      </c>
      <c r="E20" s="207">
        <f t="shared" si="0"/>
        <v>12.24780701754386</v>
      </c>
      <c r="F20" s="98"/>
      <c r="G20" s="98"/>
      <c r="H20" s="98"/>
    </row>
    <row r="21" spans="1:9" ht="18" x14ac:dyDescent="0.25">
      <c r="A21" s="162" t="s">
        <v>220</v>
      </c>
      <c r="B21" s="9" t="s">
        <v>755</v>
      </c>
      <c r="C21" s="208">
        <v>12.140350877192981</v>
      </c>
      <c r="D21" s="208">
        <v>12.192982456140351</v>
      </c>
      <c r="E21" s="207">
        <f t="shared" si="0"/>
        <v>12.166666666666666</v>
      </c>
      <c r="F21" s="98"/>
      <c r="G21" s="98"/>
      <c r="H21" s="98"/>
    </row>
    <row r="22" spans="1:9" ht="18" x14ac:dyDescent="0.25">
      <c r="A22" s="162" t="s">
        <v>221</v>
      </c>
      <c r="B22" s="9" t="s">
        <v>751</v>
      </c>
      <c r="C22" s="269">
        <v>12.008771929824562</v>
      </c>
      <c r="D22" s="269">
        <v>11.828947368421053</v>
      </c>
      <c r="E22" s="207">
        <f t="shared" si="0"/>
        <v>11.918859649122808</v>
      </c>
      <c r="F22" s="98"/>
      <c r="G22" s="98"/>
      <c r="H22" s="98"/>
    </row>
    <row r="23" spans="1:9" ht="18" x14ac:dyDescent="0.25">
      <c r="A23" s="162" t="s">
        <v>222</v>
      </c>
      <c r="B23" s="9" t="s">
        <v>752</v>
      </c>
      <c r="C23" s="208">
        <v>12.089912280701753</v>
      </c>
      <c r="D23" s="208">
        <v>11.390350877192981</v>
      </c>
      <c r="E23" s="207">
        <f t="shared" si="0"/>
        <v>11.740131578947366</v>
      </c>
      <c r="F23" s="98"/>
      <c r="G23" s="98"/>
      <c r="H23" s="98"/>
    </row>
    <row r="24" spans="1:9" ht="18" x14ac:dyDescent="0.25">
      <c r="A24" s="162" t="s">
        <v>223</v>
      </c>
      <c r="B24" s="9" t="s">
        <v>748</v>
      </c>
      <c r="C24" s="208">
        <v>11.109649122807019</v>
      </c>
      <c r="D24" s="208">
        <v>12.298245614035087</v>
      </c>
      <c r="E24" s="207">
        <f t="shared" si="0"/>
        <v>11.703947368421053</v>
      </c>
      <c r="F24" s="98"/>
      <c r="G24" s="98"/>
      <c r="H24" s="98"/>
    </row>
    <row r="25" spans="1:9" ht="18" x14ac:dyDescent="0.25">
      <c r="A25" s="162" t="s">
        <v>224</v>
      </c>
      <c r="B25" s="9" t="s">
        <v>760</v>
      </c>
      <c r="C25" s="208">
        <v>9.6995614035087723</v>
      </c>
      <c r="D25" s="208">
        <v>11.859649122807019</v>
      </c>
      <c r="E25" s="207">
        <f t="shared" si="0"/>
        <v>10.779605263157896</v>
      </c>
      <c r="F25" s="98"/>
      <c r="G25" s="98"/>
      <c r="H25" s="98"/>
    </row>
    <row r="26" spans="1:9" ht="18" x14ac:dyDescent="0.25">
      <c r="A26" s="162" t="s">
        <v>225</v>
      </c>
      <c r="B26" s="9" t="s">
        <v>766</v>
      </c>
      <c r="C26" s="208">
        <v>9.9890350877192979</v>
      </c>
      <c r="D26" s="208">
        <v>9.2039473684210531</v>
      </c>
      <c r="E26" s="207">
        <f t="shared" si="0"/>
        <v>9.5964912280701746</v>
      </c>
      <c r="F26" s="98"/>
      <c r="G26" s="98"/>
      <c r="H26" s="98"/>
    </row>
    <row r="27" spans="1:9" ht="18" x14ac:dyDescent="0.25">
      <c r="A27" s="162" t="s">
        <v>226</v>
      </c>
      <c r="B27" s="9" t="s">
        <v>756</v>
      </c>
      <c r="C27" s="208">
        <v>4.9495614035087714</v>
      </c>
      <c r="D27" s="208">
        <v>11.421052631578947</v>
      </c>
      <c r="E27" s="207">
        <f t="shared" si="0"/>
        <v>8.1853070175438596</v>
      </c>
      <c r="F27" s="98"/>
      <c r="G27" s="98"/>
      <c r="H27" s="98"/>
      <c r="I27" s="190"/>
    </row>
    <row r="28" spans="1:9" ht="18" x14ac:dyDescent="0.25">
      <c r="A28" s="162" t="s">
        <v>227</v>
      </c>
      <c r="B28" s="9" t="s">
        <v>767</v>
      </c>
      <c r="C28" s="208">
        <v>6.0372807017543861</v>
      </c>
      <c r="D28" s="208">
        <v>7.2675438596491233</v>
      </c>
      <c r="E28" s="207">
        <f t="shared" si="0"/>
        <v>6.6524122807017552</v>
      </c>
      <c r="F28" s="98"/>
      <c r="G28" s="98"/>
      <c r="H28" s="98"/>
      <c r="I28" s="190"/>
    </row>
    <row r="29" spans="1:9" ht="18" x14ac:dyDescent="0.25">
      <c r="A29" s="162" t="s">
        <v>228</v>
      </c>
      <c r="B29" s="9" t="s">
        <v>757</v>
      </c>
      <c r="C29" s="208">
        <v>7.5723684210526327</v>
      </c>
      <c r="D29" s="208">
        <v>4.9561403508771926</v>
      </c>
      <c r="E29" s="207">
        <f t="shared" si="0"/>
        <v>6.2642543859649127</v>
      </c>
      <c r="F29" s="98"/>
      <c r="G29" s="98"/>
      <c r="H29" s="98"/>
      <c r="I29" s="190"/>
    </row>
    <row r="30" spans="1:9" ht="18" x14ac:dyDescent="0.25">
      <c r="A30" s="162" t="s">
        <v>229</v>
      </c>
      <c r="B30" s="9" t="s">
        <v>758</v>
      </c>
      <c r="C30" s="208">
        <v>6.0745614035087714</v>
      </c>
      <c r="D30" s="208">
        <v>5.9692982456140342</v>
      </c>
      <c r="E30" s="207">
        <f t="shared" si="0"/>
        <v>6.0219298245614024</v>
      </c>
      <c r="F30" s="98"/>
      <c r="G30" s="98"/>
      <c r="H30" s="98"/>
      <c r="I30" s="190"/>
    </row>
    <row r="31" spans="1:9" ht="18" x14ac:dyDescent="0.25">
      <c r="A31" s="162" t="s">
        <v>230</v>
      </c>
      <c r="B31" s="9" t="s">
        <v>764</v>
      </c>
      <c r="C31" s="208">
        <v>6.2478070175438596</v>
      </c>
      <c r="D31" s="208">
        <v>3.4144736842105261</v>
      </c>
      <c r="E31" s="207">
        <f t="shared" si="0"/>
        <v>4.8311403508771926</v>
      </c>
      <c r="F31" s="98"/>
      <c r="G31" s="98"/>
      <c r="H31" s="98"/>
      <c r="I31" s="190"/>
    </row>
    <row r="32" spans="1:9" ht="18" x14ac:dyDescent="0.25">
      <c r="A32" s="162" t="s">
        <v>1001</v>
      </c>
      <c r="B32" s="9" t="s">
        <v>749</v>
      </c>
      <c r="C32" s="208">
        <v>3.7653508771929829</v>
      </c>
      <c r="D32" s="208">
        <v>4.5131578947368425</v>
      </c>
      <c r="E32" s="207">
        <f t="shared" si="0"/>
        <v>4.1392543859649127</v>
      </c>
      <c r="F32" s="98"/>
      <c r="G32" s="98"/>
      <c r="H32" s="98"/>
      <c r="I32" s="190"/>
    </row>
    <row r="33" spans="1:9" ht="18" x14ac:dyDescent="0.25">
      <c r="A33" s="162" t="s">
        <v>232</v>
      </c>
      <c r="B33" s="9" t="s">
        <v>759</v>
      </c>
      <c r="C33" s="208">
        <v>3.4473684210526314</v>
      </c>
      <c r="D33" s="208">
        <v>4.2412280701754383</v>
      </c>
      <c r="E33" s="207">
        <f t="shared" si="0"/>
        <v>3.8442982456140351</v>
      </c>
      <c r="F33" s="98"/>
      <c r="G33" s="98"/>
      <c r="H33" s="98"/>
      <c r="I33" s="190"/>
    </row>
    <row r="34" spans="1:9" ht="16.5" x14ac:dyDescent="0.25">
      <c r="A34" s="163"/>
      <c r="B34" s="100"/>
      <c r="C34" s="164"/>
      <c r="D34" s="164"/>
      <c r="E34" s="165"/>
      <c r="F34" s="98"/>
      <c r="G34" s="98"/>
      <c r="H34" s="98"/>
    </row>
    <row r="35" spans="1:9" ht="16.5" x14ac:dyDescent="0.3">
      <c r="A35" s="163"/>
      <c r="C35" s="264" t="s">
        <v>1158</v>
      </c>
      <c r="D35" s="264"/>
      <c r="E35" s="266"/>
      <c r="F35" s="98"/>
      <c r="G35" s="98"/>
      <c r="H35" s="98"/>
    </row>
    <row r="36" spans="1:9" ht="16.5" x14ac:dyDescent="0.3">
      <c r="A36" s="163"/>
      <c r="B36" s="266"/>
      <c r="C36" s="47" t="s">
        <v>393</v>
      </c>
      <c r="D36" s="47" t="s">
        <v>394</v>
      </c>
      <c r="E36" s="47" t="s">
        <v>395</v>
      </c>
      <c r="F36" s="98"/>
      <c r="G36" s="98"/>
      <c r="H36" s="98"/>
    </row>
    <row r="37" spans="1:9" ht="18.75" x14ac:dyDescent="0.3">
      <c r="A37" s="71"/>
      <c r="B37" s="106" t="s">
        <v>396</v>
      </c>
      <c r="C37" s="273">
        <v>12</v>
      </c>
      <c r="D37" s="273">
        <v>10</v>
      </c>
      <c r="E37" s="273">
        <v>22</v>
      </c>
      <c r="F37" s="98"/>
      <c r="G37" s="98"/>
      <c r="H37" s="98"/>
    </row>
    <row r="38" spans="1:9" ht="18.75" x14ac:dyDescent="0.3">
      <c r="A38" s="109"/>
      <c r="B38" s="105" t="s">
        <v>397</v>
      </c>
      <c r="C38" s="273">
        <v>12</v>
      </c>
      <c r="D38" s="273">
        <v>10</v>
      </c>
      <c r="E38" s="273">
        <f>SUM(C38:D38)</f>
        <v>22</v>
      </c>
      <c r="F38" s="98"/>
      <c r="G38" s="98"/>
      <c r="H38" s="98"/>
    </row>
    <row r="39" spans="1:9" ht="18.75" x14ac:dyDescent="0.3">
      <c r="A39" s="109"/>
      <c r="B39" s="105" t="s">
        <v>398</v>
      </c>
      <c r="C39" s="273">
        <v>0</v>
      </c>
      <c r="D39" s="273">
        <v>0</v>
      </c>
      <c r="E39" s="273">
        <f>SUM(C39:D39)</f>
        <v>0</v>
      </c>
      <c r="F39" s="98"/>
      <c r="G39" s="98"/>
      <c r="H39" s="98"/>
    </row>
    <row r="40" spans="1:9" ht="18.75" x14ac:dyDescent="0.3">
      <c r="A40" s="109"/>
      <c r="B40" s="105" t="s">
        <v>399</v>
      </c>
      <c r="C40" s="273">
        <v>10</v>
      </c>
      <c r="D40" s="273">
        <v>4</v>
      </c>
      <c r="E40" s="273">
        <v>14</v>
      </c>
      <c r="F40" s="98"/>
      <c r="G40" s="98"/>
      <c r="H40" s="98"/>
    </row>
    <row r="41" spans="1:9" ht="18.75" x14ac:dyDescent="0.3">
      <c r="A41" s="109"/>
      <c r="B41" s="105" t="s">
        <v>400</v>
      </c>
      <c r="C41" s="273">
        <v>2</v>
      </c>
      <c r="D41" s="273">
        <v>6</v>
      </c>
      <c r="E41" s="273">
        <v>8</v>
      </c>
      <c r="F41" s="98"/>
      <c r="G41" s="98"/>
      <c r="H41" s="98"/>
    </row>
    <row r="42" spans="1:9" ht="18.75" x14ac:dyDescent="0.3">
      <c r="A42" s="109"/>
      <c r="B42" s="105" t="s">
        <v>401</v>
      </c>
      <c r="C42" s="274">
        <f>+C40/C37</f>
        <v>0.83333333333333337</v>
      </c>
      <c r="D42" s="274">
        <f>+D40/D37</f>
        <v>0.4</v>
      </c>
      <c r="E42" s="274">
        <f>+E40/E37</f>
        <v>0.63636363636363635</v>
      </c>
      <c r="F42" s="98"/>
      <c r="G42" s="98"/>
      <c r="H42" s="98"/>
    </row>
    <row r="43" spans="1:9" ht="16.5" x14ac:dyDescent="0.3">
      <c r="A43" s="109"/>
      <c r="F43" s="98"/>
      <c r="G43" s="98"/>
      <c r="H43" s="98"/>
      <c r="I43" s="190"/>
    </row>
    <row r="44" spans="1:9" ht="18" x14ac:dyDescent="0.25">
      <c r="A44" s="265"/>
      <c r="B44" s="268" t="s">
        <v>1054</v>
      </c>
      <c r="C44" s="268"/>
      <c r="D44" s="98"/>
      <c r="G44" s="98"/>
      <c r="H44" s="98"/>
      <c r="I44" s="190"/>
    </row>
    <row r="45" spans="1:9" ht="18" x14ac:dyDescent="0.25">
      <c r="A45" s="265"/>
      <c r="B45" s="265"/>
      <c r="C45" s="265"/>
      <c r="D45" s="265"/>
      <c r="E45" s="265"/>
      <c r="F45" s="98"/>
      <c r="G45" s="98"/>
      <c r="H45" s="98"/>
      <c r="I45" s="190"/>
    </row>
    <row r="46" spans="1:9" ht="18.75" x14ac:dyDescent="0.3">
      <c r="A46" s="258"/>
      <c r="B46" s="258" t="s">
        <v>1053</v>
      </c>
      <c r="C46" s="265"/>
      <c r="D46" s="283" t="s">
        <v>404</v>
      </c>
      <c r="E46" s="283"/>
      <c r="F46" s="98"/>
      <c r="G46" s="98"/>
      <c r="H46" s="98"/>
      <c r="I46" s="190"/>
    </row>
    <row r="47" spans="1:9" ht="18" x14ac:dyDescent="0.25">
      <c r="A47" s="265"/>
      <c r="B47" s="265"/>
      <c r="C47" s="265"/>
      <c r="D47" s="265"/>
      <c r="E47" s="265"/>
      <c r="F47" s="98"/>
      <c r="G47" s="98"/>
      <c r="H47" s="98"/>
      <c r="I47" s="190"/>
    </row>
    <row r="48" spans="1:9" ht="18" x14ac:dyDescent="0.25">
      <c r="A48" s="265"/>
      <c r="B48" s="265"/>
      <c r="C48" s="265"/>
      <c r="D48" s="265"/>
      <c r="E48" s="265"/>
      <c r="F48" s="98"/>
      <c r="G48" s="98"/>
      <c r="H48" s="98"/>
      <c r="I48" s="190"/>
    </row>
    <row r="49" spans="1:9" ht="18" x14ac:dyDescent="0.25">
      <c r="A49" s="265"/>
      <c r="B49" s="265"/>
      <c r="C49" s="265"/>
      <c r="D49" s="265"/>
      <c r="E49" s="265"/>
      <c r="F49" s="98"/>
      <c r="G49" s="98"/>
      <c r="H49" s="98"/>
      <c r="I49" s="190"/>
    </row>
    <row r="50" spans="1:9" ht="18" x14ac:dyDescent="0.25">
      <c r="A50" s="265" t="s">
        <v>1052</v>
      </c>
      <c r="B50" s="265"/>
      <c r="C50" s="265"/>
      <c r="D50" s="283" t="s">
        <v>1055</v>
      </c>
      <c r="E50" s="283"/>
      <c r="F50" s="98"/>
      <c r="G50" s="98"/>
      <c r="H50" s="98"/>
    </row>
    <row r="51" spans="1:9" ht="16.5" x14ac:dyDescent="0.3">
      <c r="A51" s="109"/>
      <c r="B51" s="109"/>
      <c r="C51" s="109"/>
      <c r="D51" s="109"/>
      <c r="E51" s="109"/>
      <c r="F51" s="98"/>
      <c r="G51" s="98"/>
      <c r="H51" s="98"/>
    </row>
    <row r="52" spans="1:9" ht="16.5" x14ac:dyDescent="0.3">
      <c r="A52" s="109"/>
      <c r="B52" s="109"/>
      <c r="C52" s="109"/>
      <c r="D52" s="109"/>
      <c r="E52" s="109"/>
      <c r="F52" s="98"/>
      <c r="G52" s="98"/>
      <c r="H52" s="98"/>
    </row>
    <row r="53" spans="1:9" ht="16.5" x14ac:dyDescent="0.3">
      <c r="A53" s="109"/>
      <c r="B53" s="109"/>
      <c r="C53" s="109"/>
      <c r="D53" s="109"/>
      <c r="E53" s="104"/>
      <c r="F53" s="98"/>
      <c r="G53" s="98"/>
      <c r="H53" s="98"/>
    </row>
    <row r="54" spans="1:9" ht="18" customHeight="1" x14ac:dyDescent="0.3">
      <c r="A54" s="279"/>
      <c r="B54" s="279"/>
      <c r="C54" s="71"/>
      <c r="D54" s="71"/>
      <c r="E54" s="71"/>
      <c r="F54" s="98"/>
      <c r="G54" s="98"/>
      <c r="H54" s="98"/>
    </row>
    <row r="55" spans="1:9" ht="16.5" x14ac:dyDescent="0.3">
      <c r="A55" s="109"/>
      <c r="B55" s="103"/>
      <c r="C55" s="109"/>
      <c r="D55" s="109"/>
      <c r="E55" s="109"/>
      <c r="F55" s="98"/>
      <c r="G55" s="98"/>
      <c r="H55" s="98"/>
    </row>
    <row r="56" spans="1:9" x14ac:dyDescent="0.25">
      <c r="F56" s="98"/>
      <c r="G56" s="98"/>
      <c r="H56" s="98"/>
    </row>
    <row r="57" spans="1:9" x14ac:dyDescent="0.25">
      <c r="F57" s="98"/>
      <c r="G57" s="98"/>
      <c r="H57" s="98"/>
    </row>
    <row r="58" spans="1:9" x14ac:dyDescent="0.25">
      <c r="F58" s="98"/>
      <c r="G58" s="98"/>
      <c r="H58" s="98"/>
    </row>
    <row r="59" spans="1:9" x14ac:dyDescent="0.25">
      <c r="F59" s="98"/>
      <c r="G59" s="98"/>
      <c r="H59" s="98"/>
    </row>
    <row r="60" spans="1:9" x14ac:dyDescent="0.25">
      <c r="F60" s="98"/>
      <c r="G60" s="98"/>
      <c r="H60" s="98"/>
    </row>
    <row r="61" spans="1:9" x14ac:dyDescent="0.25">
      <c r="F61" s="98"/>
      <c r="G61" s="98"/>
      <c r="H61" s="98"/>
    </row>
    <row r="62" spans="1:9" x14ac:dyDescent="0.25">
      <c r="F62" s="98"/>
      <c r="G62" s="98"/>
      <c r="H62" s="98"/>
    </row>
    <row r="63" spans="1:9" ht="18" customHeight="1" x14ac:dyDescent="0.25">
      <c r="F63" s="98"/>
      <c r="G63" s="98"/>
      <c r="H63" s="98"/>
    </row>
    <row r="64" spans="1:9" x14ac:dyDescent="0.25">
      <c r="F64" s="98"/>
      <c r="G64" s="98"/>
      <c r="H64" s="98"/>
    </row>
    <row r="65" spans="6:8" x14ac:dyDescent="0.25">
      <c r="F65" s="98"/>
      <c r="G65" s="98"/>
      <c r="H65" s="98"/>
    </row>
    <row r="66" spans="6:8" x14ac:dyDescent="0.25">
      <c r="F66" s="98"/>
      <c r="G66" s="98"/>
      <c r="H66" s="98"/>
    </row>
    <row r="67" spans="6:8" x14ac:dyDescent="0.25">
      <c r="F67" s="98"/>
      <c r="G67" s="98"/>
      <c r="H67" s="98"/>
    </row>
    <row r="68" spans="6:8" x14ac:dyDescent="0.25">
      <c r="F68" s="98"/>
      <c r="G68" s="98"/>
      <c r="H68" s="98"/>
    </row>
    <row r="69" spans="6:8" x14ac:dyDescent="0.25">
      <c r="F69" s="98"/>
      <c r="G69" s="98"/>
      <c r="H69" s="98"/>
    </row>
    <row r="70" spans="6:8" x14ac:dyDescent="0.25">
      <c r="F70" s="98"/>
      <c r="G70" s="98"/>
      <c r="H70" s="98"/>
    </row>
    <row r="71" spans="6:8" x14ac:dyDescent="0.25">
      <c r="F71" s="98"/>
      <c r="G71" s="98"/>
      <c r="H71" s="98"/>
    </row>
    <row r="72" spans="6:8" x14ac:dyDescent="0.25">
      <c r="F72" s="98"/>
      <c r="G72" s="98"/>
      <c r="H72" s="98"/>
    </row>
    <row r="73" spans="6:8" x14ac:dyDescent="0.25">
      <c r="F73" s="98"/>
      <c r="G73" s="98"/>
      <c r="H73" s="98"/>
    </row>
    <row r="74" spans="6:8" x14ac:dyDescent="0.25">
      <c r="F74" s="98"/>
      <c r="G74" s="98"/>
      <c r="H74" s="98"/>
    </row>
    <row r="75" spans="6:8" ht="18" customHeight="1" x14ac:dyDescent="0.25">
      <c r="F75" s="98"/>
      <c r="G75" s="98"/>
      <c r="H75" s="98"/>
    </row>
    <row r="76" spans="6:8" x14ac:dyDescent="0.25">
      <c r="F76" s="98"/>
      <c r="G76" s="98"/>
      <c r="H76" s="98"/>
    </row>
    <row r="77" spans="6:8" x14ac:dyDescent="0.25">
      <c r="F77" s="98"/>
      <c r="G77" s="98"/>
      <c r="H77" s="98"/>
    </row>
    <row r="78" spans="6:8" ht="18" customHeight="1" x14ac:dyDescent="0.25">
      <c r="F78" s="98"/>
      <c r="G78" s="98"/>
      <c r="H78" s="98"/>
    </row>
    <row r="79" spans="6:8" x14ac:dyDescent="0.25">
      <c r="F79" s="98"/>
      <c r="G79" s="98"/>
      <c r="H79" s="98"/>
    </row>
    <row r="80" spans="6:8" x14ac:dyDescent="0.25">
      <c r="F80" s="98"/>
      <c r="G80" s="98"/>
      <c r="H80" s="98"/>
    </row>
    <row r="81" spans="6:8" x14ac:dyDescent="0.25">
      <c r="F81" s="98"/>
      <c r="G81" s="98"/>
      <c r="H81" s="98"/>
    </row>
    <row r="82" spans="6:8" x14ac:dyDescent="0.25">
      <c r="F82" s="98"/>
      <c r="G82" s="98"/>
      <c r="H82" s="98"/>
    </row>
    <row r="83" spans="6:8" x14ac:dyDescent="0.25">
      <c r="F83" s="98"/>
      <c r="G83" s="98"/>
      <c r="H83" s="98"/>
    </row>
    <row r="84" spans="6:8" x14ac:dyDescent="0.25">
      <c r="F84" s="98"/>
      <c r="G84" s="98"/>
      <c r="H84" s="98"/>
    </row>
    <row r="85" spans="6:8" x14ac:dyDescent="0.25">
      <c r="F85" s="98"/>
      <c r="G85" s="98"/>
      <c r="H85" s="98"/>
    </row>
    <row r="86" spans="6:8" x14ac:dyDescent="0.25">
      <c r="F86" s="98"/>
      <c r="G86" s="98"/>
      <c r="H86" s="98"/>
    </row>
    <row r="87" spans="6:8" x14ac:dyDescent="0.25">
      <c r="F87" s="98"/>
      <c r="G87" s="98"/>
      <c r="H87" s="98"/>
    </row>
    <row r="88" spans="6:8" x14ac:dyDescent="0.25">
      <c r="F88" s="98"/>
      <c r="G88" s="98"/>
      <c r="H88" s="98"/>
    </row>
    <row r="89" spans="6:8" x14ac:dyDescent="0.25">
      <c r="F89" s="98"/>
      <c r="G89" s="98"/>
      <c r="H89" s="98"/>
    </row>
    <row r="90" spans="6:8" x14ac:dyDescent="0.25">
      <c r="F90" s="98"/>
      <c r="G90" s="98"/>
      <c r="H90" s="98"/>
    </row>
    <row r="91" spans="6:8" x14ac:dyDescent="0.25">
      <c r="F91" s="98"/>
      <c r="G91" s="98"/>
      <c r="H91" s="98"/>
    </row>
    <row r="92" spans="6:8" x14ac:dyDescent="0.25">
      <c r="F92" s="98"/>
      <c r="G92" s="98"/>
      <c r="H92" s="98"/>
    </row>
    <row r="93" spans="6:8" x14ac:dyDescent="0.25">
      <c r="F93" s="98"/>
      <c r="G93" s="98"/>
      <c r="H93" s="98"/>
    </row>
    <row r="94" spans="6:8" x14ac:dyDescent="0.25">
      <c r="F94" s="98"/>
      <c r="G94" s="98"/>
      <c r="H94" s="98"/>
    </row>
    <row r="95" spans="6:8" x14ac:dyDescent="0.25">
      <c r="F95" s="98"/>
      <c r="G95" s="98"/>
      <c r="H95" s="98"/>
    </row>
    <row r="96" spans="6:8" x14ac:dyDescent="0.25">
      <c r="F96" s="104"/>
      <c r="G96" s="95"/>
      <c r="H96" s="95"/>
    </row>
    <row r="97" spans="6:8" x14ac:dyDescent="0.25">
      <c r="F97" s="104"/>
      <c r="G97" s="98"/>
      <c r="H97" s="98"/>
    </row>
    <row r="98" spans="6:8" x14ac:dyDescent="0.25">
      <c r="F98" s="104"/>
      <c r="G98" s="98"/>
      <c r="H98" s="98"/>
    </row>
    <row r="99" spans="6:8" x14ac:dyDescent="0.25">
      <c r="F99" s="104"/>
      <c r="G99" s="98"/>
      <c r="H99" s="98"/>
    </row>
    <row r="100" spans="6:8" x14ac:dyDescent="0.25">
      <c r="F100" s="104"/>
      <c r="G100" s="98"/>
      <c r="H100" s="98"/>
    </row>
    <row r="101" spans="6:8" x14ac:dyDescent="0.25">
      <c r="F101" s="104"/>
      <c r="G101" s="95"/>
      <c r="H101" s="95"/>
    </row>
    <row r="102" spans="6:8" ht="16.5" x14ac:dyDescent="0.3">
      <c r="F102" s="104"/>
      <c r="G102" s="109"/>
      <c r="H102" s="109"/>
    </row>
    <row r="103" spans="6:8" ht="16.5" x14ac:dyDescent="0.3">
      <c r="F103" s="104"/>
      <c r="G103" s="109"/>
      <c r="H103" s="109"/>
    </row>
    <row r="104" spans="6:8" ht="16.5" x14ac:dyDescent="0.3">
      <c r="F104" s="104"/>
      <c r="G104" s="109"/>
      <c r="H104" s="109"/>
    </row>
    <row r="105" spans="6:8" ht="16.5" x14ac:dyDescent="0.3">
      <c r="F105" s="104"/>
      <c r="G105" s="109"/>
      <c r="H105" s="109"/>
    </row>
    <row r="106" spans="6:8" ht="16.5" x14ac:dyDescent="0.3">
      <c r="F106" s="151"/>
      <c r="G106" s="109"/>
      <c r="H106" s="109"/>
    </row>
    <row r="107" spans="6:8" ht="16.5" x14ac:dyDescent="0.3">
      <c r="F107" s="104"/>
      <c r="G107" s="109"/>
      <c r="H107" s="109"/>
    </row>
    <row r="108" spans="6:8" ht="16.5" x14ac:dyDescent="0.3">
      <c r="F108" s="151"/>
      <c r="G108" s="109"/>
      <c r="H108" s="109"/>
    </row>
    <row r="109" spans="6:8" ht="16.5" x14ac:dyDescent="0.3">
      <c r="F109" s="104"/>
      <c r="G109" s="109"/>
      <c r="H109" s="109"/>
    </row>
    <row r="110" spans="6:8" ht="16.5" x14ac:dyDescent="0.3">
      <c r="F110" s="104"/>
      <c r="G110" s="109"/>
      <c r="H110" s="109"/>
    </row>
    <row r="111" spans="6:8" ht="16.5" x14ac:dyDescent="0.3">
      <c r="F111" s="104"/>
      <c r="G111" s="109"/>
      <c r="H111" s="109"/>
    </row>
    <row r="112" spans="6:8" ht="16.5" x14ac:dyDescent="0.3">
      <c r="F112" s="151"/>
      <c r="G112" s="109"/>
      <c r="H112" s="109"/>
    </row>
    <row r="113" spans="6:8" ht="16.5" x14ac:dyDescent="0.3">
      <c r="F113" s="109"/>
      <c r="G113" s="109"/>
      <c r="H113" s="109"/>
    </row>
  </sheetData>
  <sortState ref="B12:E33">
    <sortCondition descending="1" ref="E12:E33"/>
  </sortState>
  <mergeCells count="7">
    <mergeCell ref="C4:E4"/>
    <mergeCell ref="C8:G8"/>
    <mergeCell ref="A9:G10"/>
    <mergeCell ref="A54:B54"/>
    <mergeCell ref="B7:G7"/>
    <mergeCell ref="D46:E46"/>
    <mergeCell ref="D50:E50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H67"/>
  <sheetViews>
    <sheetView topLeftCell="A5" workbookViewId="0">
      <selection activeCell="C21" sqref="C21"/>
    </sheetView>
  </sheetViews>
  <sheetFormatPr baseColWidth="10" defaultColWidth="11.42578125" defaultRowHeight="16.5" x14ac:dyDescent="0.3"/>
  <cols>
    <col min="1" max="1" width="4.5703125" style="2" customWidth="1"/>
    <col min="2" max="2" width="30" style="4" bestFit="1" customWidth="1"/>
    <col min="3" max="3" width="12.42578125" style="2" customWidth="1"/>
    <col min="4" max="4" width="13" style="2" customWidth="1"/>
    <col min="5" max="5" width="14.140625" style="2" customWidth="1"/>
    <col min="6" max="16384" width="11.42578125" style="2"/>
  </cols>
  <sheetData>
    <row r="1" spans="1:7" ht="20.25" x14ac:dyDescent="0.3">
      <c r="A1" s="1" t="s">
        <v>929</v>
      </c>
      <c r="B1" s="6"/>
      <c r="C1" s="311" t="s">
        <v>5</v>
      </c>
      <c r="D1" s="311"/>
      <c r="E1" s="311"/>
    </row>
    <row r="2" spans="1:7" x14ac:dyDescent="0.3">
      <c r="A2" s="1" t="s">
        <v>930</v>
      </c>
      <c r="B2" s="6"/>
      <c r="C2" s="310" t="s">
        <v>6</v>
      </c>
      <c r="D2" s="310"/>
      <c r="E2" s="310"/>
    </row>
    <row r="3" spans="1:7" x14ac:dyDescent="0.3">
      <c r="A3" s="1" t="s">
        <v>931</v>
      </c>
      <c r="B3" s="6"/>
    </row>
    <row r="4" spans="1:7" x14ac:dyDescent="0.3">
      <c r="A4" s="1" t="s">
        <v>932</v>
      </c>
      <c r="B4" s="6"/>
      <c r="D4" s="3"/>
      <c r="E4" s="3"/>
    </row>
    <row r="5" spans="1:7" x14ac:dyDescent="0.3">
      <c r="B5" s="279" t="s">
        <v>934</v>
      </c>
      <c r="C5" s="279"/>
      <c r="D5" s="279"/>
      <c r="E5" s="279"/>
      <c r="F5" s="279"/>
      <c r="G5" s="279"/>
    </row>
    <row r="6" spans="1:7" ht="18" x14ac:dyDescent="0.3">
      <c r="B6" s="285" t="s">
        <v>423</v>
      </c>
      <c r="C6" s="285"/>
      <c r="D6" s="285"/>
      <c r="E6" s="285"/>
      <c r="F6" s="285"/>
      <c r="G6" s="285"/>
    </row>
    <row r="7" spans="1:7" ht="15" customHeight="1" x14ac:dyDescent="0.3">
      <c r="B7" s="280" t="s">
        <v>936</v>
      </c>
      <c r="C7" s="280"/>
      <c r="D7" s="280"/>
      <c r="E7" s="280"/>
      <c r="F7" s="280"/>
      <c r="G7" s="280"/>
    </row>
    <row r="8" spans="1:7" x14ac:dyDescent="0.3">
      <c r="B8" s="280"/>
      <c r="C8" s="280"/>
      <c r="D8" s="280"/>
      <c r="E8" s="280"/>
      <c r="F8" s="280"/>
      <c r="G8" s="280"/>
    </row>
    <row r="9" spans="1:7" x14ac:dyDescent="0.3">
      <c r="B9" s="278"/>
      <c r="C9" s="278"/>
      <c r="D9" s="278"/>
      <c r="E9" s="278"/>
    </row>
    <row r="10" spans="1:7" s="8" customFormat="1" ht="30.75" customHeight="1" x14ac:dyDescent="0.2">
      <c r="A10" s="30" t="s">
        <v>106</v>
      </c>
      <c r="B10" s="29" t="s">
        <v>0</v>
      </c>
      <c r="C10" s="35" t="s">
        <v>419</v>
      </c>
      <c r="D10" s="35" t="s">
        <v>420</v>
      </c>
      <c r="E10" s="35" t="s">
        <v>210</v>
      </c>
    </row>
    <row r="11" spans="1:7" s="5" customFormat="1" x14ac:dyDescent="0.3">
      <c r="A11" s="10">
        <v>1</v>
      </c>
      <c r="B11" s="206" t="s">
        <v>775</v>
      </c>
      <c r="C11" s="213">
        <v>15.6</v>
      </c>
      <c r="D11" s="213">
        <v>15.19047619047619</v>
      </c>
      <c r="E11" s="213">
        <v>15.326984126984128</v>
      </c>
    </row>
    <row r="12" spans="1:7" s="5" customFormat="1" ht="18" customHeight="1" x14ac:dyDescent="0.3">
      <c r="A12" s="10">
        <v>2</v>
      </c>
      <c r="B12" s="206" t="s">
        <v>771</v>
      </c>
      <c r="C12" s="213">
        <v>14.7</v>
      </c>
      <c r="D12" s="213">
        <v>14.904761904761905</v>
      </c>
      <c r="E12" s="213">
        <v>14.836507936507937</v>
      </c>
    </row>
    <row r="13" spans="1:7" s="5" customFormat="1" ht="29.45" customHeight="1" x14ac:dyDescent="0.3">
      <c r="A13" s="10">
        <v>3</v>
      </c>
      <c r="B13" s="206" t="s">
        <v>772</v>
      </c>
      <c r="C13" s="213">
        <v>15</v>
      </c>
      <c r="D13" s="213">
        <v>12.428571428571429</v>
      </c>
      <c r="E13" s="213">
        <v>13.285714285714286</v>
      </c>
    </row>
    <row r="14" spans="1:7" s="5" customFormat="1" x14ac:dyDescent="0.3">
      <c r="A14" s="10">
        <v>4</v>
      </c>
      <c r="B14" s="206" t="s">
        <v>778</v>
      </c>
      <c r="C14" s="213">
        <v>13.9</v>
      </c>
      <c r="D14" s="213">
        <v>11.761904761904763</v>
      </c>
      <c r="E14" s="213">
        <v>12.474603174603175</v>
      </c>
    </row>
    <row r="15" spans="1:7" s="5" customFormat="1" x14ac:dyDescent="0.3">
      <c r="A15" s="10">
        <v>5</v>
      </c>
      <c r="B15" s="206" t="s">
        <v>777</v>
      </c>
      <c r="C15" s="213">
        <v>12.8</v>
      </c>
      <c r="D15" s="213">
        <v>11.428571428571429</v>
      </c>
      <c r="E15" s="213">
        <v>11.885714285714286</v>
      </c>
    </row>
    <row r="16" spans="1:7" s="5" customFormat="1" x14ac:dyDescent="0.3">
      <c r="A16" s="10">
        <v>6</v>
      </c>
      <c r="B16" s="206" t="s">
        <v>773</v>
      </c>
      <c r="C16" s="214">
        <v>13.2</v>
      </c>
      <c r="D16" s="214">
        <v>10.952380952380953</v>
      </c>
      <c r="E16" s="214">
        <v>11.701587301587301</v>
      </c>
    </row>
    <row r="17" spans="1:6" s="5" customFormat="1" x14ac:dyDescent="0.3">
      <c r="A17" s="10">
        <v>7</v>
      </c>
      <c r="B17" s="206" t="s">
        <v>776</v>
      </c>
      <c r="C17" s="213">
        <v>12.9</v>
      </c>
      <c r="D17" s="213">
        <v>9.9047619047619051</v>
      </c>
      <c r="E17" s="213">
        <v>10.903174603174604</v>
      </c>
    </row>
    <row r="18" spans="1:6" s="5" customFormat="1" x14ac:dyDescent="0.3">
      <c r="A18" s="10">
        <v>8</v>
      </c>
      <c r="B18" s="206" t="s">
        <v>774</v>
      </c>
      <c r="C18" s="213">
        <v>10.9</v>
      </c>
      <c r="D18" s="213">
        <v>8.5238095238095237</v>
      </c>
      <c r="E18" s="213">
        <v>9.3158730158730165</v>
      </c>
    </row>
    <row r="19" spans="1:6" s="5" customFormat="1" x14ac:dyDescent="0.3">
      <c r="A19" s="10">
        <v>9</v>
      </c>
      <c r="B19" s="206" t="s">
        <v>779</v>
      </c>
      <c r="C19" s="213">
        <v>7.8</v>
      </c>
      <c r="D19" s="213">
        <v>6.8571428571428568</v>
      </c>
      <c r="E19" s="213">
        <v>7.1714285714285708</v>
      </c>
    </row>
    <row r="20" spans="1:6" s="5" customFormat="1" x14ac:dyDescent="0.3">
      <c r="A20" s="10">
        <v>10</v>
      </c>
      <c r="B20" s="206" t="s">
        <v>780</v>
      </c>
      <c r="C20" s="213">
        <v>8.9</v>
      </c>
      <c r="D20" s="213">
        <v>5.2857142857142856</v>
      </c>
      <c r="E20" s="213">
        <v>6.4904761904761905</v>
      </c>
    </row>
    <row r="21" spans="1:6" s="5" customFormat="1" ht="12.75" x14ac:dyDescent="0.2">
      <c r="A21" s="5">
        <v>0</v>
      </c>
    </row>
    <row r="22" spans="1:6" s="5" customFormat="1" x14ac:dyDescent="0.3">
      <c r="A22" s="2"/>
      <c r="C22" s="198"/>
      <c r="D22" s="198" t="s">
        <v>392</v>
      </c>
    </row>
    <row r="23" spans="1:6" s="5" customFormat="1" x14ac:dyDescent="0.3">
      <c r="B23" s="2"/>
      <c r="C23" s="2"/>
      <c r="D23" s="2"/>
      <c r="E23" s="2"/>
    </row>
    <row r="24" spans="1:6" s="5" customFormat="1" x14ac:dyDescent="0.3">
      <c r="B24" s="2"/>
      <c r="C24" s="2"/>
      <c r="D24" s="47" t="s">
        <v>393</v>
      </c>
      <c r="E24" s="47" t="s">
        <v>394</v>
      </c>
      <c r="F24" s="47" t="s">
        <v>395</v>
      </c>
    </row>
    <row r="25" spans="1:6" s="5" customFormat="1" x14ac:dyDescent="0.3">
      <c r="B25" s="2"/>
      <c r="C25" s="48" t="s">
        <v>396</v>
      </c>
      <c r="D25" s="49">
        <v>9</v>
      </c>
      <c r="E25" s="49">
        <v>1</v>
      </c>
      <c r="F25" s="49">
        <v>10</v>
      </c>
    </row>
    <row r="26" spans="1:6" s="5" customFormat="1" x14ac:dyDescent="0.3">
      <c r="B26" s="2"/>
      <c r="C26" s="10" t="s">
        <v>397</v>
      </c>
      <c r="D26" s="49">
        <v>9</v>
      </c>
      <c r="E26" s="49">
        <v>1</v>
      </c>
      <c r="F26" s="49">
        <v>10</v>
      </c>
    </row>
    <row r="27" spans="1:6" s="5" customFormat="1" x14ac:dyDescent="0.3">
      <c r="B27" s="2"/>
      <c r="C27" s="10" t="s">
        <v>398</v>
      </c>
      <c r="D27" s="49">
        <v>0</v>
      </c>
      <c r="E27" s="49">
        <v>0</v>
      </c>
      <c r="F27" s="49">
        <v>0</v>
      </c>
    </row>
    <row r="28" spans="1:6" s="5" customFormat="1" x14ac:dyDescent="0.3">
      <c r="B28" s="2"/>
      <c r="C28" s="10" t="s">
        <v>399</v>
      </c>
      <c r="D28" s="49">
        <v>7</v>
      </c>
      <c r="E28" s="49">
        <v>0</v>
      </c>
      <c r="F28" s="49">
        <v>7</v>
      </c>
    </row>
    <row r="29" spans="1:6" s="5" customFormat="1" x14ac:dyDescent="0.3">
      <c r="B29" s="2"/>
      <c r="C29" s="10" t="s">
        <v>400</v>
      </c>
      <c r="D29" s="49">
        <v>2</v>
      </c>
      <c r="E29" s="49">
        <v>1</v>
      </c>
      <c r="F29" s="49">
        <v>3</v>
      </c>
    </row>
    <row r="30" spans="1:6" s="5" customFormat="1" x14ac:dyDescent="0.3">
      <c r="B30" s="2"/>
      <c r="C30" s="10" t="s">
        <v>401</v>
      </c>
      <c r="D30" s="50">
        <f>+D28/D25</f>
        <v>0.77777777777777779</v>
      </c>
      <c r="E30" s="50">
        <f>+E28/E25</f>
        <v>0</v>
      </c>
      <c r="F30" s="50">
        <f>+F28/F25</f>
        <v>0.7</v>
      </c>
    </row>
    <row r="31" spans="1:6" s="5" customFormat="1" ht="15" x14ac:dyDescent="0.25">
      <c r="B31"/>
      <c r="C31"/>
      <c r="D31"/>
      <c r="E31"/>
    </row>
    <row r="32" spans="1:6" s="5" customFormat="1" x14ac:dyDescent="0.3">
      <c r="B32" s="2"/>
      <c r="C32" s="2"/>
      <c r="D32" s="2"/>
      <c r="E32" s="15"/>
    </row>
    <row r="33" spans="1:8" s="5" customFormat="1" x14ac:dyDescent="0.3">
      <c r="B33" s="2"/>
      <c r="C33" s="2"/>
      <c r="D33" s="2"/>
      <c r="E33" s="2"/>
    </row>
    <row r="34" spans="1:8" s="5" customFormat="1" x14ac:dyDescent="0.3">
      <c r="B34" s="285"/>
      <c r="C34" s="285"/>
      <c r="D34" s="15"/>
      <c r="E34" s="15"/>
    </row>
    <row r="35" spans="1:8" s="5" customFormat="1" x14ac:dyDescent="0.3">
      <c r="B35" s="2"/>
      <c r="C35" s="2"/>
      <c r="D35" s="2"/>
      <c r="E35" s="2"/>
    </row>
    <row r="36" spans="1:8" s="5" customFormat="1" x14ac:dyDescent="0.3">
      <c r="B36" s="2"/>
      <c r="C36" s="2"/>
      <c r="D36" s="2"/>
      <c r="E36" s="2"/>
      <c r="F36" s="15" t="s">
        <v>925</v>
      </c>
      <c r="G36" s="241"/>
      <c r="H36" s="53"/>
    </row>
    <row r="37" spans="1:8" s="5" customFormat="1" x14ac:dyDescent="0.3">
      <c r="B37" s="2"/>
      <c r="C37" s="2"/>
      <c r="D37" s="2"/>
      <c r="E37" s="2"/>
      <c r="F37" s="2"/>
      <c r="G37" s="2"/>
      <c r="H37" s="2"/>
    </row>
    <row r="38" spans="1:8" s="5" customFormat="1" ht="18.75" x14ac:dyDescent="0.3">
      <c r="B38" s="285" t="s">
        <v>921</v>
      </c>
      <c r="C38" s="285"/>
      <c r="F38" s="15"/>
      <c r="G38" s="244" t="s">
        <v>404</v>
      </c>
      <c r="H38" s="15"/>
    </row>
    <row r="39" spans="1:8" s="5" customFormat="1" x14ac:dyDescent="0.3">
      <c r="B39" s="15"/>
      <c r="C39" s="15"/>
      <c r="F39" s="15"/>
      <c r="G39" s="15"/>
      <c r="H39" s="15"/>
    </row>
    <row r="40" spans="1:8" s="5" customFormat="1" x14ac:dyDescent="0.3">
      <c r="B40" s="15"/>
      <c r="C40" s="15"/>
      <c r="F40" s="15"/>
      <c r="G40" s="15"/>
      <c r="H40" s="15"/>
    </row>
    <row r="41" spans="1:8" s="5" customFormat="1" ht="12.75" x14ac:dyDescent="0.2"/>
    <row r="42" spans="1:8" s="5" customFormat="1" x14ac:dyDescent="0.3">
      <c r="F42" s="2"/>
    </row>
    <row r="43" spans="1:8" s="5" customFormat="1" x14ac:dyDescent="0.3">
      <c r="F43" s="34"/>
    </row>
    <row r="44" spans="1:8" s="5" customFormat="1" x14ac:dyDescent="0.3">
      <c r="B44" s="285" t="s">
        <v>922</v>
      </c>
      <c r="C44" s="285"/>
      <c r="F44" s="15"/>
      <c r="G44" s="15" t="s">
        <v>8</v>
      </c>
      <c r="H44" s="15"/>
    </row>
    <row r="45" spans="1:8" s="5" customFormat="1" x14ac:dyDescent="0.3">
      <c r="B45" s="4"/>
      <c r="C45" s="2"/>
      <c r="D45" s="2"/>
      <c r="E45" s="2"/>
    </row>
    <row r="46" spans="1:8" s="5" customFormat="1" ht="12.75" x14ac:dyDescent="0.2"/>
    <row r="47" spans="1:8" s="5" customFormat="1" x14ac:dyDescent="0.3">
      <c r="A47" s="15"/>
    </row>
    <row r="48" spans="1:8" s="5" customFormat="1" ht="12.75" x14ac:dyDescent="0.2"/>
    <row r="49" spans="1:6" s="5" customFormat="1" ht="12.75" x14ac:dyDescent="0.2"/>
    <row r="50" spans="1:6" s="5" customFormat="1" ht="12.75" x14ac:dyDescent="0.2"/>
    <row r="51" spans="1:6" s="5" customFormat="1" x14ac:dyDescent="0.3">
      <c r="B51" s="4"/>
      <c r="C51" s="2"/>
      <c r="D51" s="2"/>
      <c r="E51" s="2"/>
      <c r="F51"/>
    </row>
    <row r="52" spans="1:6" s="5" customFormat="1" x14ac:dyDescent="0.3">
      <c r="B52" s="4"/>
      <c r="C52" s="2"/>
      <c r="D52" s="2"/>
      <c r="E52" s="2"/>
      <c r="F52"/>
    </row>
    <row r="53" spans="1:6" s="5" customFormat="1" x14ac:dyDescent="0.3">
      <c r="A53" s="2"/>
      <c r="B53" s="4"/>
      <c r="C53" s="2"/>
      <c r="D53" s="2"/>
      <c r="E53" s="2"/>
      <c r="F53"/>
    </row>
    <row r="54" spans="1:6" s="5" customFormat="1" x14ac:dyDescent="0.3">
      <c r="A54" s="2"/>
      <c r="B54" s="4"/>
      <c r="C54" s="2"/>
      <c r="D54" s="2"/>
      <c r="E54" s="2"/>
      <c r="F54"/>
    </row>
    <row r="55" spans="1:6" s="5" customFormat="1" x14ac:dyDescent="0.3">
      <c r="A55" s="2"/>
      <c r="B55" s="4"/>
      <c r="C55" s="2"/>
      <c r="D55" s="2"/>
      <c r="E55" s="2"/>
      <c r="F55"/>
    </row>
    <row r="56" spans="1:6" x14ac:dyDescent="0.3">
      <c r="F56"/>
    </row>
    <row r="57" spans="1:6" x14ac:dyDescent="0.3">
      <c r="F57"/>
    </row>
    <row r="58" spans="1:6" x14ac:dyDescent="0.3">
      <c r="F58"/>
    </row>
    <row r="59" spans="1:6" x14ac:dyDescent="0.3">
      <c r="F59"/>
    </row>
    <row r="60" spans="1:6" x14ac:dyDescent="0.3">
      <c r="F60"/>
    </row>
    <row r="61" spans="1:6" x14ac:dyDescent="0.3">
      <c r="F61" s="53"/>
    </row>
    <row r="62" spans="1:6" x14ac:dyDescent="0.3">
      <c r="F62"/>
    </row>
    <row r="63" spans="1:6" x14ac:dyDescent="0.3">
      <c r="F63" s="53"/>
    </row>
    <row r="64" spans="1:6" x14ac:dyDescent="0.3">
      <c r="F64"/>
    </row>
    <row r="65" spans="6:6" x14ac:dyDescent="0.3">
      <c r="F65"/>
    </row>
    <row r="66" spans="6:6" x14ac:dyDescent="0.3">
      <c r="F66"/>
    </row>
    <row r="67" spans="6:6" x14ac:dyDescent="0.3">
      <c r="F67" s="53"/>
    </row>
  </sheetData>
  <sortState ref="B11:E20">
    <sortCondition descending="1" ref="E11:E20"/>
  </sortState>
  <mergeCells count="9">
    <mergeCell ref="B44:C44"/>
    <mergeCell ref="B34:C34"/>
    <mergeCell ref="C1:E1"/>
    <mergeCell ref="C2:E2"/>
    <mergeCell ref="B9:E9"/>
    <mergeCell ref="B5:G5"/>
    <mergeCell ref="B6:G6"/>
    <mergeCell ref="B7:G8"/>
    <mergeCell ref="B38:C38"/>
  </mergeCells>
  <printOptions horizontalCentered="1"/>
  <pageMargins left="7.874015748031496E-2" right="7.874015748031496E-2" top="0.94488188976377963" bottom="0.94488188976377963" header="0.31496062992125984" footer="0.31496062992125984"/>
  <pageSetup paperSize="9" orientation="portrait" r:id="rId1"/>
  <headerFooter>
    <oddFooter>&amp;LGSP MOH-CA / 12ème Année SE&amp;R&amp;P/&amp;N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G68"/>
  <sheetViews>
    <sheetView workbookViewId="0">
      <selection activeCell="B11" sqref="B11:B28"/>
    </sheetView>
  </sheetViews>
  <sheetFormatPr baseColWidth="10" defaultRowHeight="15" x14ac:dyDescent="0.25"/>
  <cols>
    <col min="1" max="1" width="5.42578125" customWidth="1"/>
    <col min="2" max="2" width="31.85546875" customWidth="1"/>
    <col min="4" max="4" width="12.42578125" customWidth="1"/>
    <col min="5" max="5" width="15.7109375" customWidth="1"/>
  </cols>
  <sheetData>
    <row r="1" spans="1:7" ht="20.25" x14ac:dyDescent="0.3">
      <c r="A1" s="74" t="s">
        <v>1</v>
      </c>
      <c r="B1" s="91"/>
      <c r="C1" s="313" t="s">
        <v>5</v>
      </c>
      <c r="D1" s="313"/>
      <c r="E1" s="313"/>
      <c r="F1" s="91"/>
      <c r="G1" s="91"/>
    </row>
    <row r="2" spans="1:7" ht="16.5" x14ac:dyDescent="0.3">
      <c r="A2" s="74" t="s">
        <v>2</v>
      </c>
      <c r="B2" s="91"/>
      <c r="C2" s="302" t="s">
        <v>6</v>
      </c>
      <c r="D2" s="302"/>
      <c r="E2" s="302"/>
      <c r="F2" s="91"/>
      <c r="G2" s="91"/>
    </row>
    <row r="3" spans="1:7" ht="16.5" x14ac:dyDescent="0.3">
      <c r="A3" s="74" t="s">
        <v>3</v>
      </c>
      <c r="B3" s="91"/>
      <c r="C3" s="91"/>
      <c r="D3" s="91"/>
      <c r="E3" s="91"/>
      <c r="F3" s="91"/>
      <c r="G3" s="91"/>
    </row>
    <row r="4" spans="1:7" ht="16.5" x14ac:dyDescent="0.3">
      <c r="A4" s="74" t="s">
        <v>4</v>
      </c>
      <c r="B4" s="91"/>
      <c r="C4" s="91"/>
      <c r="D4" s="120"/>
      <c r="E4" s="120"/>
      <c r="F4" s="91"/>
      <c r="G4" s="91"/>
    </row>
    <row r="5" spans="1:7" ht="16.5" x14ac:dyDescent="0.3">
      <c r="A5" s="91"/>
      <c r="B5" s="303" t="s">
        <v>457</v>
      </c>
      <c r="C5" s="303"/>
      <c r="D5" s="303"/>
      <c r="E5" s="303"/>
      <c r="F5" s="303"/>
      <c r="G5" s="303"/>
    </row>
    <row r="6" spans="1:7" ht="18" x14ac:dyDescent="0.3">
      <c r="A6" s="91"/>
      <c r="B6" s="303" t="s">
        <v>423</v>
      </c>
      <c r="C6" s="303"/>
      <c r="D6" s="303"/>
      <c r="E6" s="303"/>
      <c r="F6" s="303"/>
      <c r="G6" s="303"/>
    </row>
    <row r="7" spans="1:7" ht="16.5" x14ac:dyDescent="0.3">
      <c r="A7" s="91"/>
      <c r="B7" s="304" t="s">
        <v>452</v>
      </c>
      <c r="C7" s="304"/>
      <c r="D7" s="304"/>
      <c r="E7" s="304"/>
      <c r="F7" s="304"/>
      <c r="G7" s="304"/>
    </row>
    <row r="8" spans="1:7" ht="16.5" x14ac:dyDescent="0.3">
      <c r="A8" s="91"/>
      <c r="B8" s="304"/>
      <c r="C8" s="304"/>
      <c r="D8" s="304"/>
      <c r="E8" s="304"/>
      <c r="F8" s="304"/>
      <c r="G8" s="304"/>
    </row>
    <row r="9" spans="1:7" ht="16.5" x14ac:dyDescent="0.3">
      <c r="A9" s="91"/>
      <c r="B9" s="301"/>
      <c r="C9" s="301"/>
      <c r="D9" s="301"/>
      <c r="E9" s="301"/>
      <c r="F9" s="91"/>
      <c r="G9" s="91"/>
    </row>
    <row r="10" spans="1:7" ht="25.5" x14ac:dyDescent="0.25">
      <c r="A10" s="166" t="s">
        <v>106</v>
      </c>
      <c r="B10" s="81" t="s">
        <v>0</v>
      </c>
      <c r="C10" s="123" t="s">
        <v>419</v>
      </c>
      <c r="D10" s="123" t="s">
        <v>420</v>
      </c>
      <c r="E10" s="123" t="s">
        <v>445</v>
      </c>
      <c r="F10" s="79"/>
      <c r="G10" s="79"/>
    </row>
    <row r="11" spans="1:7" ht="18" x14ac:dyDescent="0.3">
      <c r="A11" s="87" t="s">
        <v>317</v>
      </c>
      <c r="B11" s="9"/>
      <c r="C11" s="167"/>
      <c r="D11" s="168"/>
      <c r="E11" s="169">
        <f t="shared" ref="E11:E49" si="0">+(D11*2+C11)/3</f>
        <v>0</v>
      </c>
      <c r="F11" s="84"/>
      <c r="G11" s="84"/>
    </row>
    <row r="12" spans="1:7" ht="18" x14ac:dyDescent="0.3">
      <c r="A12" s="87" t="s">
        <v>212</v>
      </c>
      <c r="B12" s="9"/>
      <c r="C12" s="167"/>
      <c r="D12" s="167"/>
      <c r="E12" s="170">
        <f t="shared" si="0"/>
        <v>0</v>
      </c>
      <c r="F12" s="84"/>
      <c r="G12" s="84"/>
    </row>
    <row r="13" spans="1:7" ht="18" x14ac:dyDescent="0.3">
      <c r="A13" s="87" t="s">
        <v>213</v>
      </c>
      <c r="B13" s="9"/>
      <c r="C13" s="168"/>
      <c r="D13" s="168"/>
      <c r="E13" s="169">
        <f t="shared" si="0"/>
        <v>0</v>
      </c>
      <c r="F13" s="84"/>
      <c r="G13" s="84"/>
    </row>
    <row r="14" spans="1:7" ht="18" x14ac:dyDescent="0.3">
      <c r="A14" s="87" t="s">
        <v>214</v>
      </c>
      <c r="B14" s="9"/>
      <c r="C14" s="168"/>
      <c r="D14" s="168"/>
      <c r="E14" s="169">
        <f t="shared" si="0"/>
        <v>0</v>
      </c>
      <c r="F14" s="84"/>
      <c r="G14" s="84"/>
    </row>
    <row r="15" spans="1:7" ht="18" x14ac:dyDescent="0.3">
      <c r="A15" s="87" t="s">
        <v>215</v>
      </c>
      <c r="B15" s="9"/>
      <c r="C15" s="171"/>
      <c r="D15" s="171"/>
      <c r="E15" s="169">
        <f t="shared" si="0"/>
        <v>0</v>
      </c>
      <c r="F15" s="84"/>
      <c r="G15" s="84"/>
    </row>
    <row r="16" spans="1:7" ht="18" x14ac:dyDescent="0.3">
      <c r="A16" s="87" t="s">
        <v>216</v>
      </c>
      <c r="B16" s="9"/>
      <c r="C16" s="167"/>
      <c r="D16" s="168"/>
      <c r="E16" s="169">
        <f t="shared" si="0"/>
        <v>0</v>
      </c>
      <c r="F16" s="84"/>
      <c r="G16" s="84"/>
    </row>
    <row r="17" spans="1:7" ht="18" x14ac:dyDescent="0.3">
      <c r="A17" s="87" t="s">
        <v>217</v>
      </c>
      <c r="B17" s="9"/>
      <c r="C17" s="168"/>
      <c r="D17" s="168"/>
      <c r="E17" s="169">
        <f t="shared" si="0"/>
        <v>0</v>
      </c>
      <c r="F17" s="84"/>
      <c r="G17" s="84"/>
    </row>
    <row r="18" spans="1:7" ht="18" x14ac:dyDescent="0.3">
      <c r="A18" s="87" t="s">
        <v>218</v>
      </c>
      <c r="B18" s="9"/>
      <c r="C18" s="168"/>
      <c r="D18" s="168"/>
      <c r="E18" s="169">
        <f t="shared" si="0"/>
        <v>0</v>
      </c>
      <c r="F18" s="84"/>
      <c r="G18" s="84"/>
    </row>
    <row r="19" spans="1:7" ht="18" x14ac:dyDescent="0.3">
      <c r="A19" s="87" t="s">
        <v>219</v>
      </c>
      <c r="B19" s="9"/>
      <c r="C19" s="168"/>
      <c r="D19" s="168"/>
      <c r="E19" s="169">
        <f t="shared" si="0"/>
        <v>0</v>
      </c>
      <c r="F19" s="84"/>
      <c r="G19" s="84"/>
    </row>
    <row r="20" spans="1:7" ht="18" x14ac:dyDescent="0.3">
      <c r="A20" s="87" t="s">
        <v>220</v>
      </c>
      <c r="B20" s="9"/>
      <c r="C20" s="168"/>
      <c r="D20" s="168"/>
      <c r="E20" s="169">
        <f t="shared" si="0"/>
        <v>0</v>
      </c>
      <c r="F20" s="84"/>
      <c r="G20" s="84"/>
    </row>
    <row r="21" spans="1:7" ht="18" x14ac:dyDescent="0.3">
      <c r="A21" s="87" t="s">
        <v>221</v>
      </c>
      <c r="B21" s="9"/>
      <c r="C21" s="167"/>
      <c r="D21" s="168"/>
      <c r="E21" s="169">
        <f t="shared" si="0"/>
        <v>0</v>
      </c>
      <c r="F21" s="84"/>
      <c r="G21" s="84"/>
    </row>
    <row r="22" spans="1:7" ht="18" x14ac:dyDescent="0.3">
      <c r="A22" s="87" t="s">
        <v>222</v>
      </c>
      <c r="B22" s="9"/>
      <c r="C22" s="167"/>
      <c r="D22" s="167"/>
      <c r="E22" s="169">
        <f t="shared" si="0"/>
        <v>0</v>
      </c>
      <c r="F22" s="84"/>
      <c r="G22" s="84"/>
    </row>
    <row r="23" spans="1:7" ht="18" x14ac:dyDescent="0.3">
      <c r="A23" s="87" t="s">
        <v>223</v>
      </c>
      <c r="B23" s="9"/>
      <c r="C23" s="168"/>
      <c r="D23" s="168"/>
      <c r="E23" s="169">
        <f t="shared" si="0"/>
        <v>0</v>
      </c>
      <c r="F23" s="84"/>
      <c r="G23" s="84"/>
    </row>
    <row r="24" spans="1:7" ht="18" x14ac:dyDescent="0.3">
      <c r="A24" s="87" t="s">
        <v>224</v>
      </c>
      <c r="B24" s="9"/>
      <c r="C24" s="168"/>
      <c r="D24" s="168"/>
      <c r="E24" s="169">
        <f t="shared" si="0"/>
        <v>0</v>
      </c>
      <c r="F24" s="84"/>
      <c r="G24" s="84"/>
    </row>
    <row r="25" spans="1:7" ht="18" x14ac:dyDescent="0.3">
      <c r="A25" s="87" t="s">
        <v>225</v>
      </c>
      <c r="B25" s="9"/>
      <c r="C25" s="168"/>
      <c r="D25" s="168"/>
      <c r="E25" s="169">
        <f t="shared" si="0"/>
        <v>0</v>
      </c>
      <c r="F25" s="84"/>
      <c r="G25" s="84"/>
    </row>
    <row r="26" spans="1:7" ht="18" x14ac:dyDescent="0.3">
      <c r="A26" s="87" t="s">
        <v>226</v>
      </c>
      <c r="B26" s="9"/>
      <c r="C26" s="167"/>
      <c r="D26" s="168"/>
      <c r="E26" s="169">
        <f t="shared" si="0"/>
        <v>0</v>
      </c>
      <c r="F26" s="84"/>
      <c r="G26" s="84"/>
    </row>
    <row r="27" spans="1:7" ht="18" x14ac:dyDescent="0.3">
      <c r="A27" s="87" t="s">
        <v>227</v>
      </c>
      <c r="B27" s="9"/>
      <c r="C27" s="168"/>
      <c r="D27" s="168"/>
      <c r="E27" s="169">
        <f t="shared" si="0"/>
        <v>0</v>
      </c>
      <c r="F27" s="84"/>
      <c r="G27" s="84"/>
    </row>
    <row r="28" spans="1:7" ht="18" x14ac:dyDescent="0.3">
      <c r="A28" s="87" t="s">
        <v>228</v>
      </c>
      <c r="B28" s="9"/>
      <c r="C28" s="168"/>
      <c r="D28" s="168"/>
      <c r="E28" s="169">
        <f t="shared" si="0"/>
        <v>0</v>
      </c>
      <c r="F28" s="84"/>
      <c r="G28" s="84"/>
    </row>
    <row r="29" spans="1:7" ht="18" x14ac:dyDescent="0.3">
      <c r="A29" s="87" t="s">
        <v>229</v>
      </c>
      <c r="B29" s="82"/>
      <c r="C29" s="168"/>
      <c r="D29" s="168"/>
      <c r="E29" s="169">
        <f t="shared" si="0"/>
        <v>0</v>
      </c>
      <c r="F29" s="84"/>
      <c r="G29" s="84"/>
    </row>
    <row r="30" spans="1:7" ht="18" x14ac:dyDescent="0.3">
      <c r="A30" s="87" t="s">
        <v>230</v>
      </c>
      <c r="B30" s="82"/>
      <c r="C30" s="168"/>
      <c r="D30" s="168"/>
      <c r="E30" s="169">
        <f t="shared" si="0"/>
        <v>0</v>
      </c>
      <c r="F30" s="84"/>
      <c r="G30" s="84"/>
    </row>
    <row r="31" spans="1:7" ht="18" x14ac:dyDescent="0.3">
      <c r="A31" s="87" t="s">
        <v>231</v>
      </c>
      <c r="B31" s="82"/>
      <c r="C31" s="168"/>
      <c r="D31" s="168"/>
      <c r="E31" s="169">
        <f t="shared" si="0"/>
        <v>0</v>
      </c>
      <c r="F31" s="84"/>
      <c r="G31" s="84"/>
    </row>
    <row r="32" spans="1:7" ht="18" x14ac:dyDescent="0.3">
      <c r="A32" s="87" t="s">
        <v>232</v>
      </c>
      <c r="B32" s="82"/>
      <c r="C32" s="168"/>
      <c r="D32" s="168"/>
      <c r="E32" s="169">
        <f t="shared" si="0"/>
        <v>0</v>
      </c>
      <c r="F32" s="84"/>
      <c r="G32" s="84"/>
    </row>
    <row r="33" spans="1:7" ht="18" x14ac:dyDescent="0.3">
      <c r="A33" s="87" t="s">
        <v>233</v>
      </c>
      <c r="B33" s="82"/>
      <c r="C33" s="168"/>
      <c r="D33" s="168"/>
      <c r="E33" s="169">
        <f t="shared" si="0"/>
        <v>0</v>
      </c>
      <c r="F33" s="84"/>
      <c r="G33" s="84"/>
    </row>
    <row r="34" spans="1:7" ht="18" x14ac:dyDescent="0.3">
      <c r="A34" s="87" t="s">
        <v>234</v>
      </c>
      <c r="B34" s="82"/>
      <c r="C34" s="171"/>
      <c r="D34" s="171"/>
      <c r="E34" s="169">
        <f t="shared" si="0"/>
        <v>0</v>
      </c>
      <c r="F34" s="84"/>
      <c r="G34" s="84"/>
    </row>
    <row r="35" spans="1:7" ht="18" x14ac:dyDescent="0.3">
      <c r="A35" s="87" t="s">
        <v>235</v>
      </c>
      <c r="B35" s="82"/>
      <c r="C35" s="168"/>
      <c r="D35" s="168"/>
      <c r="E35" s="169">
        <f t="shared" si="0"/>
        <v>0</v>
      </c>
      <c r="F35" s="84"/>
      <c r="G35" s="84"/>
    </row>
    <row r="36" spans="1:7" ht="18" x14ac:dyDescent="0.3">
      <c r="A36" s="87" t="s">
        <v>236</v>
      </c>
      <c r="B36" s="82"/>
      <c r="C36" s="168"/>
      <c r="D36" s="168"/>
      <c r="E36" s="169">
        <f t="shared" si="0"/>
        <v>0</v>
      </c>
      <c r="F36" s="84"/>
      <c r="G36" s="84"/>
    </row>
    <row r="37" spans="1:7" ht="18" x14ac:dyDescent="0.3">
      <c r="A37" s="87" t="s">
        <v>237</v>
      </c>
      <c r="B37" s="82"/>
      <c r="C37" s="171"/>
      <c r="D37" s="171"/>
      <c r="E37" s="169">
        <f t="shared" si="0"/>
        <v>0</v>
      </c>
      <c r="F37" s="84"/>
      <c r="G37" s="84"/>
    </row>
    <row r="38" spans="1:7" ht="18" x14ac:dyDescent="0.3">
      <c r="A38" s="87" t="s">
        <v>238</v>
      </c>
      <c r="B38" s="82"/>
      <c r="C38" s="168"/>
      <c r="D38" s="168"/>
      <c r="E38" s="169">
        <f t="shared" si="0"/>
        <v>0</v>
      </c>
      <c r="F38" s="84"/>
      <c r="G38" s="84"/>
    </row>
    <row r="39" spans="1:7" ht="18" x14ac:dyDescent="0.3">
      <c r="A39" s="87" t="s">
        <v>239</v>
      </c>
      <c r="B39" s="82"/>
      <c r="C39" s="168"/>
      <c r="D39" s="168"/>
      <c r="E39" s="169">
        <f t="shared" si="0"/>
        <v>0</v>
      </c>
      <c r="F39" s="84"/>
      <c r="G39" s="84"/>
    </row>
    <row r="40" spans="1:7" ht="18" x14ac:dyDescent="0.3">
      <c r="A40" s="87" t="s">
        <v>240</v>
      </c>
      <c r="B40" s="82"/>
      <c r="C40" s="168"/>
      <c r="D40" s="168"/>
      <c r="E40" s="169">
        <f t="shared" si="0"/>
        <v>0</v>
      </c>
      <c r="F40" s="84"/>
      <c r="G40" s="84"/>
    </row>
    <row r="41" spans="1:7" ht="18" x14ac:dyDescent="0.3">
      <c r="A41" s="87" t="s">
        <v>241</v>
      </c>
      <c r="B41" s="82"/>
      <c r="C41" s="168"/>
      <c r="D41" s="168"/>
      <c r="E41" s="169">
        <f t="shared" si="0"/>
        <v>0</v>
      </c>
      <c r="F41" s="84"/>
      <c r="G41" s="84"/>
    </row>
    <row r="42" spans="1:7" ht="18" x14ac:dyDescent="0.3">
      <c r="A42" s="87" t="s">
        <v>242</v>
      </c>
      <c r="B42" s="82"/>
      <c r="C42" s="168"/>
      <c r="D42" s="168"/>
      <c r="E42" s="169">
        <f t="shared" si="0"/>
        <v>0</v>
      </c>
      <c r="F42" s="84"/>
      <c r="G42" s="84"/>
    </row>
    <row r="43" spans="1:7" ht="18" x14ac:dyDescent="0.3">
      <c r="A43" s="87" t="s">
        <v>243</v>
      </c>
      <c r="B43" s="82"/>
      <c r="C43" s="168"/>
      <c r="D43" s="168"/>
      <c r="E43" s="169">
        <f t="shared" si="0"/>
        <v>0</v>
      </c>
      <c r="F43" s="84"/>
      <c r="G43" s="84"/>
    </row>
    <row r="44" spans="1:7" ht="18" x14ac:dyDescent="0.3">
      <c r="A44" s="87" t="s">
        <v>244</v>
      </c>
      <c r="B44" s="82"/>
      <c r="C44" s="168"/>
      <c r="D44" s="168"/>
      <c r="E44" s="169">
        <f t="shared" si="0"/>
        <v>0</v>
      </c>
      <c r="F44" s="84"/>
      <c r="G44" s="84"/>
    </row>
    <row r="45" spans="1:7" ht="18" x14ac:dyDescent="0.3">
      <c r="A45" s="87" t="s">
        <v>245</v>
      </c>
      <c r="B45" s="82"/>
      <c r="C45" s="171"/>
      <c r="D45" s="171"/>
      <c r="E45" s="169">
        <f t="shared" si="0"/>
        <v>0</v>
      </c>
      <c r="F45" s="84"/>
      <c r="G45" s="84"/>
    </row>
    <row r="46" spans="1:7" ht="18" x14ac:dyDescent="0.3">
      <c r="A46" s="87" t="s">
        <v>246</v>
      </c>
      <c r="B46" s="82"/>
      <c r="C46" s="172"/>
      <c r="D46" s="172"/>
      <c r="E46" s="169">
        <f t="shared" si="0"/>
        <v>0</v>
      </c>
      <c r="F46" s="84"/>
      <c r="G46" s="84"/>
    </row>
    <row r="47" spans="1:7" ht="18" x14ac:dyDescent="0.3">
      <c r="A47" s="87" t="s">
        <v>247</v>
      </c>
      <c r="B47" s="82"/>
      <c r="C47" s="171"/>
      <c r="D47" s="171"/>
      <c r="E47" s="169">
        <f t="shared" si="0"/>
        <v>0</v>
      </c>
      <c r="F47" s="84"/>
      <c r="G47" s="84"/>
    </row>
    <row r="48" spans="1:7" ht="18" x14ac:dyDescent="0.3">
      <c r="A48" s="87" t="s">
        <v>248</v>
      </c>
      <c r="B48" s="82"/>
      <c r="C48" s="171"/>
      <c r="D48" s="171"/>
      <c r="E48" s="169">
        <f t="shared" si="0"/>
        <v>0</v>
      </c>
      <c r="F48" s="84"/>
      <c r="G48" s="84"/>
    </row>
    <row r="49" spans="1:7" ht="18" x14ac:dyDescent="0.3">
      <c r="A49" s="87" t="s">
        <v>249</v>
      </c>
      <c r="B49" s="82"/>
      <c r="C49" s="171"/>
      <c r="D49" s="171"/>
      <c r="E49" s="169">
        <f t="shared" si="0"/>
        <v>0</v>
      </c>
      <c r="F49" s="84"/>
      <c r="G49" s="84"/>
    </row>
    <row r="50" spans="1:7" ht="16.5" x14ac:dyDescent="0.3">
      <c r="A50" s="77"/>
      <c r="B50" s="85"/>
      <c r="C50" s="91"/>
      <c r="D50" s="91"/>
      <c r="E50" s="91"/>
      <c r="F50" s="84"/>
      <c r="G50" s="84"/>
    </row>
    <row r="51" spans="1:7" ht="16.5" x14ac:dyDescent="0.3">
      <c r="A51" s="91"/>
      <c r="B51" s="291" t="s">
        <v>392</v>
      </c>
      <c r="C51" s="291"/>
      <c r="D51" s="291"/>
      <c r="E51" s="291"/>
      <c r="F51" s="86"/>
      <c r="G51" s="84"/>
    </row>
    <row r="52" spans="1:7" ht="16.5" x14ac:dyDescent="0.3">
      <c r="A52" s="91"/>
      <c r="B52" s="91"/>
      <c r="C52" s="91"/>
      <c r="D52" s="91"/>
      <c r="E52" s="91"/>
      <c r="F52" s="86"/>
      <c r="G52" s="84"/>
    </row>
    <row r="53" spans="1:7" ht="16.5" x14ac:dyDescent="0.3">
      <c r="A53" s="91"/>
      <c r="B53" s="91"/>
      <c r="C53" s="87" t="s">
        <v>393</v>
      </c>
      <c r="D53" s="87" t="s">
        <v>394</v>
      </c>
      <c r="E53" s="87" t="s">
        <v>395</v>
      </c>
      <c r="F53" s="86"/>
      <c r="G53" s="84"/>
    </row>
    <row r="54" spans="1:7" ht="16.5" x14ac:dyDescent="0.3">
      <c r="A54" s="91"/>
      <c r="B54" s="88" t="s">
        <v>396</v>
      </c>
      <c r="C54" s="89">
        <v>29</v>
      </c>
      <c r="D54" s="89">
        <v>10</v>
      </c>
      <c r="E54" s="89">
        <f>SUM(C54:D54)</f>
        <v>39</v>
      </c>
      <c r="F54" s="86"/>
      <c r="G54" s="84"/>
    </row>
    <row r="55" spans="1:7" ht="16.5" x14ac:dyDescent="0.3">
      <c r="A55" s="91"/>
      <c r="B55" s="87" t="s">
        <v>397</v>
      </c>
      <c r="C55" s="89">
        <v>24</v>
      </c>
      <c r="D55" s="89">
        <v>7</v>
      </c>
      <c r="E55" s="89">
        <f>SUM(C55:D55)</f>
        <v>31</v>
      </c>
      <c r="F55" s="86"/>
      <c r="G55" s="84"/>
    </row>
    <row r="56" spans="1:7" ht="16.5" x14ac:dyDescent="0.3">
      <c r="A56" s="91"/>
      <c r="B56" s="87" t="s">
        <v>398</v>
      </c>
      <c r="C56" s="89">
        <v>5</v>
      </c>
      <c r="D56" s="89">
        <v>3</v>
      </c>
      <c r="E56" s="89">
        <f>SUM(C56:D56)</f>
        <v>8</v>
      </c>
      <c r="F56" s="86"/>
      <c r="G56" s="91"/>
    </row>
    <row r="57" spans="1:7" ht="16.5" x14ac:dyDescent="0.3">
      <c r="A57" s="91"/>
      <c r="B57" s="87" t="s">
        <v>399</v>
      </c>
      <c r="C57" s="89">
        <v>5</v>
      </c>
      <c r="D57" s="89">
        <v>5</v>
      </c>
      <c r="E57" s="89">
        <f>SUM(C57:D57)</f>
        <v>10</v>
      </c>
      <c r="F57" s="86"/>
      <c r="G57" s="91"/>
    </row>
    <row r="58" spans="1:7" ht="16.5" x14ac:dyDescent="0.3">
      <c r="A58" s="91"/>
      <c r="B58" s="87" t="s">
        <v>400</v>
      </c>
      <c r="C58" s="89">
        <v>24</v>
      </c>
      <c r="D58" s="89">
        <v>5</v>
      </c>
      <c r="E58" s="89">
        <f>SUM(C58:D58)</f>
        <v>29</v>
      </c>
      <c r="F58" s="86"/>
      <c r="G58" s="91"/>
    </row>
    <row r="59" spans="1:7" ht="16.5" x14ac:dyDescent="0.3">
      <c r="A59" s="91"/>
      <c r="B59" s="87" t="s">
        <v>401</v>
      </c>
      <c r="C59" s="90">
        <f>+C57/C54</f>
        <v>0.17241379310344829</v>
      </c>
      <c r="D59" s="90">
        <f>+D57/D54</f>
        <v>0.5</v>
      </c>
      <c r="E59" s="90">
        <f>+E57/E54</f>
        <v>0.25641025641025639</v>
      </c>
      <c r="F59" s="86"/>
      <c r="G59" s="91"/>
    </row>
    <row r="60" spans="1:7" ht="16.5" x14ac:dyDescent="0.3">
      <c r="A60" s="86"/>
      <c r="B60" s="86"/>
      <c r="C60" s="86"/>
      <c r="D60" s="86"/>
      <c r="E60" s="86"/>
      <c r="F60" s="86"/>
      <c r="G60" s="91"/>
    </row>
    <row r="61" spans="1:7" ht="16.5" x14ac:dyDescent="0.3">
      <c r="A61" s="91"/>
      <c r="B61" s="91"/>
      <c r="C61" s="91"/>
      <c r="D61" s="77" t="s">
        <v>418</v>
      </c>
      <c r="E61" s="77"/>
      <c r="F61" s="143"/>
      <c r="G61" s="91"/>
    </row>
    <row r="62" spans="1:7" ht="16.5" x14ac:dyDescent="0.3">
      <c r="A62" s="91"/>
      <c r="B62" s="91"/>
      <c r="C62" s="91"/>
      <c r="D62" s="91"/>
      <c r="E62" s="91"/>
      <c r="F62" s="86"/>
      <c r="G62" s="91"/>
    </row>
    <row r="63" spans="1:7" ht="16.5" x14ac:dyDescent="0.3">
      <c r="A63" s="303" t="s">
        <v>403</v>
      </c>
      <c r="B63" s="303"/>
      <c r="C63" s="77"/>
      <c r="D63" s="77"/>
      <c r="E63" s="77" t="s">
        <v>404</v>
      </c>
      <c r="F63" s="143"/>
      <c r="G63" s="91"/>
    </row>
    <row r="64" spans="1:7" ht="16.5" x14ac:dyDescent="0.3">
      <c r="A64" s="91"/>
      <c r="B64" s="91"/>
      <c r="C64" s="91"/>
      <c r="D64" s="91"/>
      <c r="E64" s="91"/>
      <c r="F64" s="86"/>
      <c r="G64" s="91"/>
    </row>
    <row r="65" spans="1:7" ht="16.5" x14ac:dyDescent="0.3">
      <c r="A65" s="91"/>
      <c r="B65" s="91"/>
      <c r="C65" s="91"/>
      <c r="D65" s="91"/>
      <c r="E65" s="91"/>
      <c r="F65" s="86"/>
      <c r="G65" s="91"/>
    </row>
    <row r="66" spans="1:7" ht="16.5" x14ac:dyDescent="0.3">
      <c r="A66" s="91"/>
      <c r="B66" s="91"/>
      <c r="C66" s="91"/>
      <c r="D66" s="91"/>
      <c r="E66" s="91"/>
      <c r="F66" s="86"/>
      <c r="G66" s="91"/>
    </row>
    <row r="67" spans="1:7" ht="16.5" x14ac:dyDescent="0.3">
      <c r="A67" s="303" t="s">
        <v>424</v>
      </c>
      <c r="B67" s="303"/>
      <c r="C67" s="77"/>
      <c r="D67" s="77"/>
      <c r="E67" s="77" t="s">
        <v>8</v>
      </c>
      <c r="F67" s="143"/>
      <c r="G67" s="91"/>
    </row>
    <row r="68" spans="1:7" ht="16.5" x14ac:dyDescent="0.3">
      <c r="A68" s="91"/>
      <c r="B68" s="85"/>
      <c r="C68" s="91"/>
      <c r="D68" s="91"/>
      <c r="E68" s="91"/>
      <c r="F68" s="91"/>
      <c r="G68" s="91"/>
    </row>
  </sheetData>
  <mergeCells count="9">
    <mergeCell ref="B51:E51"/>
    <mergeCell ref="A63:B63"/>
    <mergeCell ref="A67:B67"/>
    <mergeCell ref="C1:E1"/>
    <mergeCell ref="C2:E2"/>
    <mergeCell ref="B5:G5"/>
    <mergeCell ref="B6:G6"/>
    <mergeCell ref="B7:G8"/>
    <mergeCell ref="B9:E9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H68"/>
  <sheetViews>
    <sheetView workbookViewId="0">
      <selection activeCell="C1" sqref="C1"/>
    </sheetView>
  </sheetViews>
  <sheetFormatPr baseColWidth="10" defaultRowHeight="15" x14ac:dyDescent="0.25"/>
  <cols>
    <col min="1" max="1" width="6.7109375" customWidth="1"/>
    <col min="2" max="2" width="30.28515625" customWidth="1"/>
    <col min="3" max="3" width="12.28515625" customWidth="1"/>
    <col min="4" max="4" width="14.42578125" customWidth="1"/>
    <col min="5" max="5" width="13.7109375" customWidth="1"/>
  </cols>
  <sheetData>
    <row r="1" spans="1:7" ht="20.25" x14ac:dyDescent="0.3">
      <c r="A1" s="92"/>
      <c r="B1" s="266"/>
      <c r="C1" s="267" t="s">
        <v>5</v>
      </c>
      <c r="D1" s="267"/>
      <c r="E1" s="267"/>
      <c r="F1" s="266"/>
      <c r="G1" s="266"/>
    </row>
    <row r="2" spans="1:7" ht="20.25" x14ac:dyDescent="0.3">
      <c r="A2" s="1" t="s">
        <v>929</v>
      </c>
      <c r="B2" s="6"/>
      <c r="C2" s="31" t="s">
        <v>5</v>
      </c>
      <c r="D2" s="31"/>
      <c r="E2" s="31"/>
      <c r="F2" s="2"/>
      <c r="G2" s="2"/>
    </row>
    <row r="3" spans="1:7" ht="16.5" x14ac:dyDescent="0.3">
      <c r="A3" s="1" t="s">
        <v>930</v>
      </c>
      <c r="B3" s="6"/>
      <c r="C3" s="276" t="s">
        <v>6</v>
      </c>
      <c r="D3" s="276"/>
      <c r="E3" s="276"/>
      <c r="F3" s="2"/>
      <c r="G3" s="2"/>
    </row>
    <row r="4" spans="1:7" ht="16.5" x14ac:dyDescent="0.3">
      <c r="A4" s="1" t="s">
        <v>931</v>
      </c>
      <c r="B4" s="6"/>
      <c r="C4" s="2"/>
      <c r="D4" s="2"/>
      <c r="E4" s="2"/>
      <c r="F4" s="2"/>
      <c r="G4" s="2"/>
    </row>
    <row r="5" spans="1:7" ht="16.5" x14ac:dyDescent="0.3">
      <c r="A5" s="1" t="s">
        <v>932</v>
      </c>
      <c r="B5" s="6"/>
      <c r="C5" s="2"/>
      <c r="D5" s="3"/>
      <c r="E5" s="3"/>
      <c r="F5" s="2"/>
      <c r="G5" s="2"/>
    </row>
    <row r="6" spans="1:7" ht="18.75" x14ac:dyDescent="0.3">
      <c r="A6" s="2"/>
      <c r="B6" s="283" t="s">
        <v>1047</v>
      </c>
      <c r="C6" s="283"/>
      <c r="D6" s="283"/>
      <c r="E6" s="283"/>
      <c r="F6" s="283"/>
      <c r="G6" s="283"/>
    </row>
    <row r="7" spans="1:7" ht="21" x14ac:dyDescent="0.3">
      <c r="A7" s="2"/>
      <c r="B7" s="4"/>
      <c r="C7" s="283" t="s">
        <v>1161</v>
      </c>
      <c r="D7" s="283"/>
      <c r="E7" s="283"/>
      <c r="F7" s="283"/>
      <c r="G7" s="283"/>
    </row>
    <row r="8" spans="1:7" ht="15" customHeight="1" x14ac:dyDescent="0.25">
      <c r="A8" s="324" t="s">
        <v>1046</v>
      </c>
      <c r="B8" s="324"/>
      <c r="C8" s="324"/>
      <c r="D8" s="324"/>
      <c r="E8" s="324"/>
      <c r="F8" s="324"/>
      <c r="G8" s="324"/>
    </row>
    <row r="9" spans="1:7" ht="15" customHeight="1" x14ac:dyDescent="0.25">
      <c r="A9" s="324"/>
      <c r="B9" s="324"/>
      <c r="C9" s="324"/>
      <c r="D9" s="324"/>
      <c r="E9" s="324"/>
      <c r="F9" s="324"/>
      <c r="G9" s="324"/>
    </row>
    <row r="10" spans="1:7" ht="41.25" customHeight="1" x14ac:dyDescent="0.25">
      <c r="A10" s="366" t="s">
        <v>106</v>
      </c>
      <c r="B10" s="379" t="s">
        <v>0</v>
      </c>
      <c r="C10" s="370" t="s">
        <v>210</v>
      </c>
      <c r="D10" s="370" t="s">
        <v>445</v>
      </c>
      <c r="E10" s="370" t="s">
        <v>446</v>
      </c>
      <c r="F10" s="355"/>
      <c r="G10" s="355"/>
    </row>
    <row r="11" spans="1:7" ht="20.25" x14ac:dyDescent="0.25">
      <c r="A11" s="318" t="s">
        <v>1176</v>
      </c>
      <c r="B11" s="322" t="s">
        <v>771</v>
      </c>
      <c r="C11" s="315">
        <v>14.836507936507937</v>
      </c>
      <c r="D11" s="315">
        <v>15.706349206349207</v>
      </c>
      <c r="E11" s="342">
        <f t="shared" ref="E11:E19" si="0">SUM(C11+D11)/2</f>
        <v>15.271428571428572</v>
      </c>
      <c r="F11" s="355"/>
      <c r="G11" s="355"/>
    </row>
    <row r="12" spans="1:7" ht="23.25" customHeight="1" x14ac:dyDescent="0.25">
      <c r="A12" s="318" t="s">
        <v>1177</v>
      </c>
      <c r="B12" s="322" t="s">
        <v>775</v>
      </c>
      <c r="C12" s="315">
        <v>15.326984126984128</v>
      </c>
      <c r="D12" s="315">
        <v>15.193650793650795</v>
      </c>
      <c r="E12" s="342">
        <f t="shared" si="0"/>
        <v>15.260317460317461</v>
      </c>
      <c r="F12" s="355"/>
      <c r="G12" s="355"/>
    </row>
    <row r="13" spans="1:7" ht="27.75" customHeight="1" x14ac:dyDescent="0.25">
      <c r="A13" s="318" t="s">
        <v>1178</v>
      </c>
      <c r="B13" s="322" t="s">
        <v>772</v>
      </c>
      <c r="C13" s="315">
        <v>13.285714285714286</v>
      </c>
      <c r="D13" s="315">
        <v>14.901587301587304</v>
      </c>
      <c r="E13" s="342">
        <f t="shared" si="0"/>
        <v>14.093650793650795</v>
      </c>
      <c r="F13" s="355"/>
      <c r="G13" s="355"/>
    </row>
    <row r="14" spans="1:7" ht="20.25" x14ac:dyDescent="0.25">
      <c r="A14" s="318" t="s">
        <v>1179</v>
      </c>
      <c r="B14" s="322" t="s">
        <v>778</v>
      </c>
      <c r="C14" s="315">
        <v>12.474603174603175</v>
      </c>
      <c r="D14" s="315">
        <v>13</v>
      </c>
      <c r="E14" s="342">
        <f t="shared" si="0"/>
        <v>12.737301587301587</v>
      </c>
      <c r="F14" s="355"/>
      <c r="G14" s="355"/>
    </row>
    <row r="15" spans="1:7" ht="18" customHeight="1" x14ac:dyDescent="0.25">
      <c r="A15" s="318" t="s">
        <v>1180</v>
      </c>
      <c r="B15" s="322" t="s">
        <v>777</v>
      </c>
      <c r="C15" s="315">
        <v>11.885714285714286</v>
      </c>
      <c r="D15" s="315">
        <v>12.306349206349205</v>
      </c>
      <c r="E15" s="342">
        <f t="shared" si="0"/>
        <v>12.096031746031745</v>
      </c>
      <c r="F15" s="355"/>
      <c r="G15" s="355"/>
    </row>
    <row r="16" spans="1:7" ht="20.25" x14ac:dyDescent="0.25">
      <c r="A16" s="318" t="s">
        <v>1181</v>
      </c>
      <c r="B16" s="322" t="s">
        <v>773</v>
      </c>
      <c r="C16" s="315">
        <v>11.701587301587301</v>
      </c>
      <c r="D16" s="315">
        <v>11.763492063492064</v>
      </c>
      <c r="E16" s="342">
        <f t="shared" si="0"/>
        <v>11.732539682539683</v>
      </c>
      <c r="F16" s="355"/>
      <c r="G16" s="355"/>
    </row>
    <row r="17" spans="1:8" ht="20.25" x14ac:dyDescent="0.25">
      <c r="A17" s="318" t="s">
        <v>1182</v>
      </c>
      <c r="B17" s="322" t="s">
        <v>776</v>
      </c>
      <c r="C17" s="315">
        <v>10.903174603174604</v>
      </c>
      <c r="D17" s="315">
        <v>12.523809523809524</v>
      </c>
      <c r="E17" s="342">
        <f t="shared" si="0"/>
        <v>11.713492063492064</v>
      </c>
      <c r="F17" s="355"/>
      <c r="G17" s="355"/>
    </row>
    <row r="18" spans="1:8" ht="20.25" x14ac:dyDescent="0.25">
      <c r="A18" s="318" t="s">
        <v>1183</v>
      </c>
      <c r="B18" s="322" t="s">
        <v>774</v>
      </c>
      <c r="C18" s="315">
        <v>9.3158730158730165</v>
      </c>
      <c r="D18" s="315">
        <v>9.742857142857142</v>
      </c>
      <c r="E18" s="342">
        <f t="shared" si="0"/>
        <v>9.5293650793650784</v>
      </c>
      <c r="F18" s="355"/>
      <c r="G18" s="355"/>
    </row>
    <row r="19" spans="1:8" ht="36" x14ac:dyDescent="0.25">
      <c r="A19" s="318">
        <v>9</v>
      </c>
      <c r="B19" s="322" t="s">
        <v>780</v>
      </c>
      <c r="C19" s="315">
        <v>6.4904761904761905</v>
      </c>
      <c r="D19" s="315">
        <v>2.568253968253968</v>
      </c>
      <c r="E19" s="342">
        <f t="shared" si="0"/>
        <v>4.5293650793650793</v>
      </c>
      <c r="F19" s="355"/>
      <c r="G19" s="355"/>
    </row>
    <row r="20" spans="1:8" x14ac:dyDescent="0.25">
      <c r="A20" s="84"/>
      <c r="B20" s="197"/>
      <c r="F20" s="84"/>
      <c r="G20" s="84"/>
      <c r="H20" s="190"/>
    </row>
    <row r="21" spans="1:8" ht="18" x14ac:dyDescent="0.25">
      <c r="A21" s="84"/>
      <c r="B21" s="361" t="s">
        <v>392</v>
      </c>
      <c r="C21" s="361"/>
      <c r="D21" s="361"/>
      <c r="E21" s="361"/>
    </row>
    <row r="22" spans="1:8" ht="18" x14ac:dyDescent="0.25">
      <c r="A22" s="84"/>
      <c r="B22" s="355"/>
      <c r="C22" s="355"/>
      <c r="D22" s="355"/>
      <c r="E22" s="355"/>
    </row>
    <row r="23" spans="1:8" ht="18" x14ac:dyDescent="0.25">
      <c r="A23" s="84"/>
      <c r="B23" s="355"/>
      <c r="C23" s="273" t="s">
        <v>393</v>
      </c>
      <c r="D23" s="273" t="s">
        <v>394</v>
      </c>
      <c r="E23" s="273" t="s">
        <v>395</v>
      </c>
    </row>
    <row r="24" spans="1:8" ht="18" x14ac:dyDescent="0.25">
      <c r="A24" s="84"/>
      <c r="B24" s="362" t="s">
        <v>396</v>
      </c>
      <c r="C24" s="273">
        <v>8</v>
      </c>
      <c r="D24" s="273">
        <v>1</v>
      </c>
      <c r="E24" s="273">
        <v>9</v>
      </c>
    </row>
    <row r="25" spans="1:8" ht="18" x14ac:dyDescent="0.25">
      <c r="A25" s="84"/>
      <c r="B25" s="318" t="s">
        <v>397</v>
      </c>
      <c r="C25" s="273">
        <v>8</v>
      </c>
      <c r="D25" s="273">
        <v>1</v>
      </c>
      <c r="E25" s="273">
        <f>SUM(C25:D25)</f>
        <v>9</v>
      </c>
    </row>
    <row r="26" spans="1:8" ht="18" x14ac:dyDescent="0.25">
      <c r="A26" s="84"/>
      <c r="B26" s="318" t="s">
        <v>398</v>
      </c>
      <c r="C26" s="273">
        <v>0</v>
      </c>
      <c r="D26" s="273">
        <v>0</v>
      </c>
      <c r="E26" s="273">
        <f>SUM(C26:D26)</f>
        <v>0</v>
      </c>
    </row>
    <row r="27" spans="1:8" ht="18" x14ac:dyDescent="0.25">
      <c r="A27" s="84"/>
      <c r="B27" s="318" t="s">
        <v>399</v>
      </c>
      <c r="C27" s="273">
        <v>7</v>
      </c>
      <c r="D27" s="273">
        <v>0</v>
      </c>
      <c r="E27" s="273">
        <v>7</v>
      </c>
    </row>
    <row r="28" spans="1:8" ht="18" x14ac:dyDescent="0.25">
      <c r="A28" s="84"/>
      <c r="B28" s="318" t="s">
        <v>400</v>
      </c>
      <c r="C28" s="273">
        <v>1</v>
      </c>
      <c r="D28" s="273">
        <v>1</v>
      </c>
      <c r="E28" s="273">
        <v>2</v>
      </c>
    </row>
    <row r="29" spans="1:8" ht="23.25" customHeight="1" x14ac:dyDescent="0.25">
      <c r="A29" s="84"/>
      <c r="B29" s="318" t="s">
        <v>401</v>
      </c>
      <c r="C29" s="274">
        <f>+C27/C24</f>
        <v>0.875</v>
      </c>
      <c r="D29" s="274">
        <f>+D27/D24</f>
        <v>0</v>
      </c>
      <c r="E29" s="274">
        <f>+E27/E24</f>
        <v>0.77777777777777779</v>
      </c>
    </row>
    <row r="30" spans="1:8" ht="18.75" x14ac:dyDescent="0.3">
      <c r="A30" s="84"/>
      <c r="B30" s="355"/>
      <c r="C30" s="380"/>
      <c r="D30" s="380"/>
      <c r="E30" s="258"/>
    </row>
    <row r="31" spans="1:8" ht="21.75" customHeight="1" x14ac:dyDescent="0.3">
      <c r="A31" s="268"/>
      <c r="B31" s="272" t="s">
        <v>1054</v>
      </c>
      <c r="C31" s="272"/>
      <c r="D31" s="258"/>
      <c r="E31" s="258"/>
    </row>
    <row r="32" spans="1:8" ht="18" x14ac:dyDescent="0.25">
      <c r="A32" s="268"/>
      <c r="B32" s="272"/>
      <c r="C32" s="272"/>
      <c r="D32" s="272"/>
      <c r="E32" s="272"/>
    </row>
    <row r="33" spans="1:5" ht="18.75" x14ac:dyDescent="0.3">
      <c r="A33" s="258"/>
      <c r="B33" s="258" t="s">
        <v>1053</v>
      </c>
      <c r="C33" s="272"/>
      <c r="D33" s="283" t="s">
        <v>404</v>
      </c>
      <c r="E33" s="283"/>
    </row>
    <row r="34" spans="1:5" ht="18" x14ac:dyDescent="0.25">
      <c r="A34" s="268"/>
      <c r="B34" s="272"/>
      <c r="C34" s="272"/>
      <c r="D34" s="272"/>
      <c r="E34" s="272"/>
    </row>
    <row r="35" spans="1:5" ht="18" x14ac:dyDescent="0.25">
      <c r="A35" s="268"/>
      <c r="B35" s="272"/>
      <c r="C35" s="272"/>
      <c r="D35" s="272"/>
      <c r="E35" s="272"/>
    </row>
    <row r="36" spans="1:5" ht="18" x14ac:dyDescent="0.25">
      <c r="A36" s="268"/>
      <c r="B36" s="272"/>
      <c r="C36" s="272"/>
      <c r="D36" s="272"/>
      <c r="E36" s="272"/>
    </row>
    <row r="37" spans="1:5" ht="18" x14ac:dyDescent="0.25">
      <c r="A37" s="268" t="s">
        <v>1052</v>
      </c>
      <c r="B37" s="272"/>
      <c r="C37" s="272"/>
      <c r="D37" s="283" t="s">
        <v>1055</v>
      </c>
      <c r="E37" s="283"/>
    </row>
    <row r="38" spans="1:5" x14ac:dyDescent="0.25">
      <c r="A38" s="84"/>
      <c r="B38" s="84"/>
    </row>
    <row r="39" spans="1:5" x14ac:dyDescent="0.25">
      <c r="A39" s="84"/>
      <c r="B39" s="84"/>
    </row>
    <row r="40" spans="1:5" x14ac:dyDescent="0.25">
      <c r="A40" s="84"/>
      <c r="B40" s="84"/>
    </row>
    <row r="41" spans="1:5" x14ac:dyDescent="0.25">
      <c r="A41" s="84"/>
      <c r="B41" s="84"/>
    </row>
    <row r="42" spans="1:5" x14ac:dyDescent="0.25">
      <c r="A42" s="84"/>
      <c r="B42" s="84"/>
    </row>
    <row r="43" spans="1:5" x14ac:dyDescent="0.25">
      <c r="A43" s="84"/>
      <c r="B43" s="84"/>
    </row>
    <row r="44" spans="1:5" x14ac:dyDescent="0.25">
      <c r="A44" s="84"/>
      <c r="B44" s="84"/>
    </row>
    <row r="45" spans="1:5" x14ac:dyDescent="0.25">
      <c r="A45" s="84"/>
      <c r="B45" s="84"/>
    </row>
    <row r="46" spans="1:5" x14ac:dyDescent="0.25">
      <c r="A46" s="84"/>
      <c r="B46" s="84"/>
    </row>
    <row r="47" spans="1:5" x14ac:dyDescent="0.25">
      <c r="A47" s="84"/>
      <c r="B47" s="84"/>
    </row>
    <row r="48" spans="1:5" x14ac:dyDescent="0.25">
      <c r="A48" s="84"/>
      <c r="B48" s="84"/>
    </row>
    <row r="49" spans="1:7" ht="16.5" x14ac:dyDescent="0.3">
      <c r="A49" s="77"/>
      <c r="B49" s="85"/>
      <c r="C49" s="91"/>
      <c r="D49" s="91"/>
      <c r="E49" s="91"/>
    </row>
    <row r="50" spans="1:7" ht="16.5" x14ac:dyDescent="0.3">
      <c r="A50" s="91"/>
      <c r="F50" s="84"/>
      <c r="G50" s="84"/>
    </row>
    <row r="51" spans="1:7" ht="16.5" x14ac:dyDescent="0.3">
      <c r="A51" s="91"/>
      <c r="F51" s="86"/>
      <c r="G51" s="84"/>
    </row>
    <row r="52" spans="1:7" ht="16.5" x14ac:dyDescent="0.3">
      <c r="A52" s="91"/>
      <c r="F52" s="86"/>
      <c r="G52" s="84"/>
    </row>
    <row r="53" spans="1:7" ht="16.5" x14ac:dyDescent="0.3">
      <c r="A53" s="91"/>
      <c r="F53" s="86"/>
      <c r="G53" s="84"/>
    </row>
    <row r="54" spans="1:7" ht="16.5" x14ac:dyDescent="0.3">
      <c r="A54" s="91"/>
      <c r="F54" s="86"/>
      <c r="G54" s="84"/>
    </row>
    <row r="55" spans="1:7" ht="16.5" x14ac:dyDescent="0.3">
      <c r="A55" s="91"/>
      <c r="F55" s="86"/>
      <c r="G55" s="84"/>
    </row>
    <row r="56" spans="1:7" ht="16.5" x14ac:dyDescent="0.3">
      <c r="A56" s="91"/>
      <c r="F56" s="86"/>
      <c r="G56" s="91"/>
    </row>
    <row r="57" spans="1:7" ht="16.5" x14ac:dyDescent="0.3">
      <c r="A57" s="91"/>
      <c r="F57" s="86"/>
      <c r="G57" s="91"/>
    </row>
    <row r="58" spans="1:7" ht="16.5" x14ac:dyDescent="0.3">
      <c r="A58" s="91"/>
      <c r="F58" s="86"/>
      <c r="G58" s="91"/>
    </row>
    <row r="59" spans="1:7" ht="16.5" x14ac:dyDescent="0.3">
      <c r="A59" s="86"/>
      <c r="B59" s="86"/>
      <c r="C59" s="86"/>
      <c r="D59" s="86"/>
      <c r="E59" s="86"/>
      <c r="F59" s="86"/>
      <c r="G59" s="91"/>
    </row>
    <row r="60" spans="1:7" ht="16.5" x14ac:dyDescent="0.3">
      <c r="A60" s="91"/>
      <c r="B60" s="91"/>
      <c r="C60" s="91"/>
      <c r="D60" s="77" t="s">
        <v>418</v>
      </c>
      <c r="E60" s="77"/>
      <c r="F60" s="86"/>
      <c r="G60" s="91"/>
    </row>
    <row r="61" spans="1:7" ht="16.5" x14ac:dyDescent="0.3">
      <c r="A61" s="91"/>
      <c r="B61" s="91"/>
      <c r="C61" s="91"/>
      <c r="D61" s="91"/>
      <c r="E61" s="91"/>
      <c r="F61" s="143"/>
      <c r="G61" s="91"/>
    </row>
    <row r="62" spans="1:7" ht="16.5" x14ac:dyDescent="0.3">
      <c r="A62" s="303" t="s">
        <v>403</v>
      </c>
      <c r="B62" s="303"/>
      <c r="C62" s="77"/>
      <c r="D62" s="77"/>
      <c r="E62" s="77" t="s">
        <v>404</v>
      </c>
      <c r="F62" s="86"/>
      <c r="G62" s="91"/>
    </row>
    <row r="63" spans="1:7" ht="16.5" x14ac:dyDescent="0.3">
      <c r="A63" s="91"/>
      <c r="B63" s="91"/>
      <c r="C63" s="91"/>
      <c r="D63" s="91"/>
      <c r="E63" s="91"/>
      <c r="F63" s="143"/>
      <c r="G63" s="91"/>
    </row>
    <row r="64" spans="1:7" ht="16.5" x14ac:dyDescent="0.3">
      <c r="A64" s="91"/>
      <c r="B64" s="91"/>
      <c r="C64" s="91"/>
      <c r="D64" s="91"/>
      <c r="E64" s="91"/>
      <c r="F64" s="86"/>
      <c r="G64" s="91"/>
    </row>
    <row r="65" spans="1:7" ht="16.5" x14ac:dyDescent="0.3">
      <c r="A65" s="91"/>
      <c r="B65" s="91"/>
      <c r="C65" s="91"/>
      <c r="D65" s="91"/>
      <c r="E65" s="91"/>
      <c r="F65" s="86"/>
      <c r="G65" s="91"/>
    </row>
    <row r="66" spans="1:7" ht="16.5" x14ac:dyDescent="0.3">
      <c r="A66" s="303" t="s">
        <v>424</v>
      </c>
      <c r="B66" s="303"/>
      <c r="C66" s="77"/>
      <c r="D66" s="77"/>
      <c r="E66" s="77" t="s">
        <v>8</v>
      </c>
      <c r="F66" s="86"/>
      <c r="G66" s="91"/>
    </row>
    <row r="67" spans="1:7" ht="16.5" x14ac:dyDescent="0.3">
      <c r="A67" s="91"/>
      <c r="B67" s="85"/>
      <c r="C67" s="91"/>
      <c r="D67" s="91"/>
      <c r="E67" s="91"/>
      <c r="F67" s="143"/>
      <c r="G67" s="91"/>
    </row>
    <row r="68" spans="1:7" ht="16.5" x14ac:dyDescent="0.3">
      <c r="F68" s="91"/>
      <c r="G68" s="91"/>
    </row>
  </sheetData>
  <sortState ref="B11:E19">
    <sortCondition descending="1" ref="E11:E19"/>
  </sortState>
  <mergeCells count="9">
    <mergeCell ref="B21:E21"/>
    <mergeCell ref="A62:B62"/>
    <mergeCell ref="A66:B66"/>
    <mergeCell ref="B6:G6"/>
    <mergeCell ref="C3:E3"/>
    <mergeCell ref="C7:G7"/>
    <mergeCell ref="A8:G9"/>
    <mergeCell ref="D33:E33"/>
    <mergeCell ref="D37:E37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G54"/>
  <sheetViews>
    <sheetView workbookViewId="0">
      <selection activeCell="B11" sqref="B11:B14"/>
    </sheetView>
  </sheetViews>
  <sheetFormatPr baseColWidth="10" defaultColWidth="11.42578125" defaultRowHeight="16.5" x14ac:dyDescent="0.3"/>
  <cols>
    <col min="1" max="1" width="5.7109375" style="2" customWidth="1"/>
    <col min="2" max="2" width="31.85546875" style="4" customWidth="1"/>
    <col min="3" max="3" width="13.7109375" style="2" customWidth="1"/>
    <col min="4" max="4" width="11.5703125" style="2" customWidth="1"/>
    <col min="5" max="5" width="12.85546875" style="2" customWidth="1"/>
    <col min="6" max="16384" width="11.42578125" style="2"/>
  </cols>
  <sheetData>
    <row r="1" spans="1:7" ht="20.25" x14ac:dyDescent="0.3">
      <c r="A1" s="1" t="s">
        <v>929</v>
      </c>
      <c r="B1" s="6"/>
      <c r="C1" s="311" t="s">
        <v>5</v>
      </c>
      <c r="D1" s="311"/>
      <c r="E1" s="311"/>
    </row>
    <row r="2" spans="1:7" x14ac:dyDescent="0.3">
      <c r="A2" s="1" t="s">
        <v>930</v>
      </c>
      <c r="B2" s="6"/>
      <c r="C2" s="310" t="s">
        <v>6</v>
      </c>
      <c r="D2" s="310"/>
      <c r="E2" s="310"/>
    </row>
    <row r="3" spans="1:7" x14ac:dyDescent="0.3">
      <c r="A3" s="1" t="s">
        <v>931</v>
      </c>
      <c r="B3" s="6"/>
    </row>
    <row r="4" spans="1:7" x14ac:dyDescent="0.3">
      <c r="A4" s="1" t="s">
        <v>932</v>
      </c>
      <c r="B4" s="6"/>
      <c r="D4" s="3"/>
      <c r="E4" s="3"/>
    </row>
    <row r="5" spans="1:7" x14ac:dyDescent="0.3">
      <c r="B5" s="279" t="s">
        <v>934</v>
      </c>
      <c r="C5" s="279"/>
      <c r="D5" s="279"/>
      <c r="E5" s="279"/>
      <c r="F5" s="279"/>
      <c r="G5" s="279"/>
    </row>
    <row r="6" spans="1:7" ht="18" x14ac:dyDescent="0.3">
      <c r="B6" s="285" t="s">
        <v>443</v>
      </c>
      <c r="C6" s="285"/>
      <c r="D6" s="285"/>
      <c r="E6" s="285"/>
      <c r="F6" s="285"/>
      <c r="G6" s="285"/>
    </row>
    <row r="7" spans="1:7" ht="15" customHeight="1" x14ac:dyDescent="0.3">
      <c r="A7" s="280" t="s">
        <v>939</v>
      </c>
      <c r="B7" s="280"/>
      <c r="C7" s="280"/>
      <c r="D7" s="280"/>
      <c r="E7" s="280"/>
      <c r="F7" s="280"/>
    </row>
    <row r="8" spans="1:7" x14ac:dyDescent="0.3">
      <c r="A8" s="280"/>
      <c r="B8" s="280"/>
      <c r="C8" s="280"/>
      <c r="D8" s="280"/>
      <c r="E8" s="280"/>
      <c r="F8" s="280"/>
    </row>
    <row r="9" spans="1:7" ht="18" customHeight="1" x14ac:dyDescent="0.3">
      <c r="B9" s="278"/>
      <c r="C9" s="278"/>
      <c r="D9" s="278"/>
      <c r="E9" s="278"/>
    </row>
    <row r="10" spans="1:7" s="8" customFormat="1" ht="36" customHeight="1" x14ac:dyDescent="0.2">
      <c r="A10" s="30" t="s">
        <v>106</v>
      </c>
      <c r="B10" s="35" t="s">
        <v>0</v>
      </c>
      <c r="C10" s="35" t="s">
        <v>419</v>
      </c>
      <c r="D10" s="35" t="s">
        <v>420</v>
      </c>
      <c r="E10" s="35" t="s">
        <v>425</v>
      </c>
    </row>
    <row r="11" spans="1:7" s="8" customFormat="1" ht="19.5" customHeight="1" x14ac:dyDescent="0.25">
      <c r="A11" s="30" t="s">
        <v>440</v>
      </c>
      <c r="B11" s="206" t="s">
        <v>769</v>
      </c>
      <c r="C11" s="38">
        <v>11.9</v>
      </c>
      <c r="D11" s="213">
        <v>9.8095238095238102</v>
      </c>
      <c r="E11" s="213">
        <v>10.506349206349206</v>
      </c>
    </row>
    <row r="12" spans="1:7" s="8" customFormat="1" ht="15.6" customHeight="1" x14ac:dyDescent="0.25">
      <c r="A12" s="30" t="s">
        <v>318</v>
      </c>
      <c r="B12" s="206" t="s">
        <v>770</v>
      </c>
      <c r="C12" s="213">
        <v>11.8</v>
      </c>
      <c r="D12" s="213">
        <v>9.5714285714285712</v>
      </c>
      <c r="E12" s="38">
        <v>10.314285714285715</v>
      </c>
    </row>
    <row r="13" spans="1:7" s="5" customFormat="1" ht="15.6" customHeight="1" x14ac:dyDescent="0.25">
      <c r="A13" s="30" t="s">
        <v>319</v>
      </c>
      <c r="B13" s="206" t="s">
        <v>875</v>
      </c>
      <c r="C13" s="213">
        <v>6.2</v>
      </c>
      <c r="D13" s="213">
        <v>5.4761904761904763</v>
      </c>
      <c r="E13" s="213">
        <v>5.7174603174603176</v>
      </c>
      <c r="F13" s="26"/>
    </row>
    <row r="14" spans="1:7" s="5" customFormat="1" ht="16.5" customHeight="1" x14ac:dyDescent="0.25">
      <c r="A14" s="30" t="s">
        <v>320</v>
      </c>
      <c r="B14" s="206" t="s">
        <v>876</v>
      </c>
      <c r="C14" s="213">
        <v>5.3</v>
      </c>
      <c r="D14" s="213">
        <v>1.8095238095238095</v>
      </c>
      <c r="E14" s="213">
        <v>2.9730158730158731</v>
      </c>
    </row>
    <row r="15" spans="1:7" s="5" customFormat="1" ht="17.25" customHeight="1" x14ac:dyDescent="0.2"/>
    <row r="16" spans="1:7" s="5" customFormat="1" ht="17.25" customHeight="1" x14ac:dyDescent="0.3">
      <c r="B16" s="2"/>
      <c r="C16" s="281" t="s">
        <v>392</v>
      </c>
      <c r="D16" s="281"/>
      <c r="E16" s="281"/>
      <c r="F16" s="281"/>
      <c r="G16"/>
    </row>
    <row r="17" spans="2:7" s="5" customFormat="1" ht="15.6" customHeight="1" x14ac:dyDescent="0.3">
      <c r="B17" s="2"/>
      <c r="C17" s="2"/>
      <c r="D17" s="2"/>
      <c r="E17" s="2"/>
      <c r="F17" s="2"/>
      <c r="G17"/>
    </row>
    <row r="18" spans="2:7" s="5" customFormat="1" ht="15.6" customHeight="1" x14ac:dyDescent="0.3">
      <c r="B18" s="2"/>
      <c r="C18" s="2"/>
      <c r="D18" s="47" t="s">
        <v>393</v>
      </c>
      <c r="E18" s="47" t="s">
        <v>394</v>
      </c>
      <c r="F18" s="47" t="s">
        <v>395</v>
      </c>
      <c r="G18"/>
    </row>
    <row r="19" spans="2:7" s="5" customFormat="1" ht="15.6" customHeight="1" x14ac:dyDescent="0.3">
      <c r="B19" s="2"/>
      <c r="C19" s="48" t="s">
        <v>396</v>
      </c>
      <c r="D19" s="49">
        <v>1</v>
      </c>
      <c r="E19" s="49">
        <v>3</v>
      </c>
      <c r="F19" s="49">
        <v>4</v>
      </c>
      <c r="G19"/>
    </row>
    <row r="20" spans="2:7" s="5" customFormat="1" ht="15.6" customHeight="1" x14ac:dyDescent="0.3">
      <c r="B20" s="2"/>
      <c r="C20" s="10" t="s">
        <v>397</v>
      </c>
      <c r="D20" s="49">
        <v>1</v>
      </c>
      <c r="E20" s="49">
        <v>3</v>
      </c>
      <c r="F20" s="49">
        <v>4</v>
      </c>
      <c r="G20"/>
    </row>
    <row r="21" spans="2:7" s="5" customFormat="1" ht="15.6" customHeight="1" x14ac:dyDescent="0.3">
      <c r="B21" s="2"/>
      <c r="C21" s="10" t="s">
        <v>398</v>
      </c>
      <c r="D21" s="49">
        <v>0</v>
      </c>
      <c r="E21" s="49">
        <v>0</v>
      </c>
      <c r="F21" s="49">
        <v>0</v>
      </c>
      <c r="G21"/>
    </row>
    <row r="22" spans="2:7" s="5" customFormat="1" ht="15.6" customHeight="1" x14ac:dyDescent="0.3">
      <c r="B22" s="2"/>
      <c r="C22" s="10" t="s">
        <v>399</v>
      </c>
      <c r="D22" s="49">
        <v>1</v>
      </c>
      <c r="E22" s="49">
        <v>1</v>
      </c>
      <c r="F22" s="49">
        <v>2</v>
      </c>
      <c r="G22"/>
    </row>
    <row r="23" spans="2:7" s="5" customFormat="1" ht="15.6" customHeight="1" x14ac:dyDescent="0.3">
      <c r="B23" s="2"/>
      <c r="C23" s="10" t="s">
        <v>400</v>
      </c>
      <c r="D23" s="49">
        <v>0</v>
      </c>
      <c r="E23" s="49">
        <v>2</v>
      </c>
      <c r="F23" s="49">
        <v>2</v>
      </c>
      <c r="G23"/>
    </row>
    <row r="24" spans="2:7" s="5" customFormat="1" ht="15.6" customHeight="1" x14ac:dyDescent="0.3">
      <c r="B24" s="2"/>
      <c r="C24" s="10" t="s">
        <v>401</v>
      </c>
      <c r="D24" s="50">
        <f>+D22/D19</f>
        <v>1</v>
      </c>
      <c r="E24" s="50">
        <f>+E22/E19</f>
        <v>0.33333333333333331</v>
      </c>
      <c r="F24" s="50">
        <f>+F22/F19</f>
        <v>0.5</v>
      </c>
      <c r="G24"/>
    </row>
    <row r="25" spans="2:7" s="5" customFormat="1" ht="15.6" customHeight="1" x14ac:dyDescent="0.25">
      <c r="B25"/>
      <c r="C25"/>
      <c r="D25"/>
      <c r="E25"/>
      <c r="F25"/>
      <c r="G25"/>
    </row>
    <row r="26" spans="2:7" s="5" customFormat="1" ht="16.5" customHeight="1" x14ac:dyDescent="0.3">
      <c r="B26" s="2"/>
      <c r="C26" s="2"/>
      <c r="D26" s="2"/>
      <c r="E26" s="15" t="s">
        <v>418</v>
      </c>
      <c r="F26" s="34"/>
      <c r="G26" s="53"/>
    </row>
    <row r="27" spans="2:7" s="5" customFormat="1" ht="15.6" customHeight="1" x14ac:dyDescent="0.3">
      <c r="B27" s="2"/>
      <c r="C27" s="2"/>
      <c r="D27" s="2"/>
      <c r="E27" s="2"/>
      <c r="F27" s="2"/>
      <c r="G27"/>
    </row>
    <row r="28" spans="2:7" s="5" customFormat="1" ht="16.5" customHeight="1" x14ac:dyDescent="0.3">
      <c r="B28" s="285" t="s">
        <v>921</v>
      </c>
      <c r="C28" s="285"/>
      <c r="D28" s="15"/>
      <c r="E28" s="15"/>
      <c r="F28" s="34" t="s">
        <v>404</v>
      </c>
      <c r="G28" s="53"/>
    </row>
    <row r="29" spans="2:7" s="5" customFormat="1" ht="15.6" customHeight="1" x14ac:dyDescent="0.3">
      <c r="B29" s="15"/>
      <c r="C29" s="15"/>
      <c r="D29" s="2"/>
      <c r="E29" s="2"/>
      <c r="F29" s="2"/>
      <c r="G29"/>
    </row>
    <row r="30" spans="2:7" s="5" customFormat="1" ht="16.5" customHeight="1" x14ac:dyDescent="0.3">
      <c r="B30" s="15"/>
      <c r="C30" s="15"/>
      <c r="D30" s="2"/>
      <c r="E30" s="2"/>
      <c r="F30" s="2"/>
      <c r="G30"/>
    </row>
    <row r="31" spans="2:7" s="5" customFormat="1" ht="15.6" customHeight="1" x14ac:dyDescent="0.3">
      <c r="D31" s="2"/>
      <c r="E31" s="2"/>
      <c r="F31" s="2"/>
      <c r="G31"/>
    </row>
    <row r="32" spans="2:7" s="5" customFormat="1" ht="16.5" customHeight="1" x14ac:dyDescent="0.3">
      <c r="B32" s="285" t="s">
        <v>922</v>
      </c>
      <c r="C32" s="285"/>
      <c r="D32" s="15"/>
      <c r="E32" s="15"/>
      <c r="F32" s="34" t="s">
        <v>8</v>
      </c>
      <c r="G32" s="53"/>
    </row>
    <row r="33" spans="1:5" s="5" customFormat="1" ht="15.6" customHeight="1" x14ac:dyDescent="0.2"/>
    <row r="34" spans="1:5" s="5" customFormat="1" ht="16.5" customHeight="1" x14ac:dyDescent="0.2"/>
    <row r="35" spans="1:5" s="5" customFormat="1" ht="15.6" customHeight="1" x14ac:dyDescent="0.2"/>
    <row r="36" spans="1:5" s="5" customFormat="1" ht="15.6" customHeight="1" x14ac:dyDescent="0.2"/>
    <row r="37" spans="1:5" s="5" customFormat="1" ht="17.25" customHeight="1" x14ac:dyDescent="0.2"/>
    <row r="38" spans="1:5" s="5" customFormat="1" ht="18.75" customHeight="1" x14ac:dyDescent="0.2"/>
    <row r="39" spans="1:5" s="5" customFormat="1" ht="15" customHeight="1" x14ac:dyDescent="0.2"/>
    <row r="40" spans="1:5" s="5" customFormat="1" ht="15.6" customHeight="1" x14ac:dyDescent="0.2"/>
    <row r="41" spans="1:5" s="5" customFormat="1" ht="18.75" customHeight="1" x14ac:dyDescent="0.2"/>
    <row r="42" spans="1:5" s="5" customFormat="1" ht="18.75" customHeight="1" x14ac:dyDescent="0.2"/>
    <row r="43" spans="1:5" s="5" customFormat="1" ht="18.75" customHeight="1" x14ac:dyDescent="0.2"/>
    <row r="44" spans="1:5" s="5" customFormat="1" ht="18.75" customHeight="1" x14ac:dyDescent="0.2"/>
    <row r="45" spans="1:5" s="5" customFormat="1" ht="18.75" customHeight="1" x14ac:dyDescent="0.2"/>
    <row r="46" spans="1:5" s="5" customFormat="1" ht="18.75" customHeight="1" x14ac:dyDescent="0.2"/>
    <row r="47" spans="1:5" s="5" customFormat="1" x14ac:dyDescent="0.2">
      <c r="A47" s="16"/>
      <c r="B47" s="17"/>
      <c r="C47" s="19"/>
      <c r="D47" s="19"/>
      <c r="E47" s="19"/>
    </row>
    <row r="48" spans="1:5" s="5" customFormat="1" ht="15" customHeight="1" x14ac:dyDescent="0.2">
      <c r="B48" s="7"/>
    </row>
    <row r="49" s="8" customFormat="1" ht="12.75" x14ac:dyDescent="0.2"/>
    <row r="50" s="5" customFormat="1" ht="12.75" x14ac:dyDescent="0.2"/>
    <row r="51" s="5" customFormat="1" ht="12.75" x14ac:dyDescent="0.2"/>
    <row r="52" s="5" customFormat="1" ht="12.75" x14ac:dyDescent="0.2"/>
    <row r="53" s="8" customFormat="1" ht="12.75" x14ac:dyDescent="0.2"/>
    <row r="54" s="5" customFormat="1" ht="12.75" x14ac:dyDescent="0.2"/>
  </sheetData>
  <sortState ref="B11:E14">
    <sortCondition descending="1" ref="E11:E14"/>
  </sortState>
  <mergeCells count="9">
    <mergeCell ref="B32:C32"/>
    <mergeCell ref="B28:C28"/>
    <mergeCell ref="C1:E1"/>
    <mergeCell ref="C2:E2"/>
    <mergeCell ref="B9:E9"/>
    <mergeCell ref="B5:G5"/>
    <mergeCell ref="B6:G6"/>
    <mergeCell ref="A7:F8"/>
    <mergeCell ref="C16:F16"/>
  </mergeCells>
  <printOptions horizontalCentered="1"/>
  <pageMargins left="0.11811023622047245" right="0.11811023622047245" top="0.35433070866141736" bottom="0.35433070866141736" header="0.11811023622047245" footer="0.11811023622047245"/>
  <pageSetup paperSize="9" orientation="portrait" r:id="rId1"/>
  <headerFooter>
    <oddFooter>&amp;LGSP MOH-CA / 12ème Année SM&amp;R&amp;P/&amp;N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G66"/>
  <sheetViews>
    <sheetView workbookViewId="0">
      <selection activeCell="B11" sqref="B11:B29"/>
    </sheetView>
  </sheetViews>
  <sheetFormatPr baseColWidth="10" defaultRowHeight="15" x14ac:dyDescent="0.25"/>
  <cols>
    <col min="1" max="1" width="6.85546875" customWidth="1"/>
    <col min="2" max="2" width="34" customWidth="1"/>
    <col min="4" max="4" width="12.42578125" customWidth="1"/>
    <col min="5" max="5" width="13.140625" customWidth="1"/>
  </cols>
  <sheetData>
    <row r="1" spans="1:7" ht="20.25" x14ac:dyDescent="0.3">
      <c r="A1" s="74" t="s">
        <v>1</v>
      </c>
      <c r="B1" s="91"/>
      <c r="C1" s="313" t="s">
        <v>5</v>
      </c>
      <c r="D1" s="313"/>
      <c r="E1" s="313"/>
      <c r="F1" s="91"/>
      <c r="G1" s="91"/>
    </row>
    <row r="2" spans="1:7" ht="16.5" x14ac:dyDescent="0.3">
      <c r="A2" s="74" t="s">
        <v>2</v>
      </c>
      <c r="B2" s="91"/>
      <c r="C2" s="302" t="s">
        <v>6</v>
      </c>
      <c r="D2" s="302"/>
      <c r="E2" s="302"/>
      <c r="F2" s="91"/>
      <c r="G2" s="91"/>
    </row>
    <row r="3" spans="1:7" ht="16.5" x14ac:dyDescent="0.3">
      <c r="A3" s="74" t="s">
        <v>3</v>
      </c>
      <c r="B3" s="91"/>
      <c r="C3" s="91"/>
      <c r="D3" s="91"/>
      <c r="E3" s="91"/>
      <c r="F3" s="91"/>
      <c r="G3" s="91"/>
    </row>
    <row r="4" spans="1:7" ht="16.5" x14ac:dyDescent="0.3">
      <c r="A4" s="74" t="s">
        <v>4</v>
      </c>
      <c r="B4" s="91"/>
      <c r="C4" s="91"/>
      <c r="D4" s="120"/>
      <c r="E4" s="120"/>
      <c r="F4" s="91"/>
      <c r="G4" s="91"/>
    </row>
    <row r="5" spans="1:7" ht="16.5" x14ac:dyDescent="0.3">
      <c r="A5" s="91"/>
      <c r="B5" s="303" t="s">
        <v>457</v>
      </c>
      <c r="C5" s="303"/>
      <c r="D5" s="303"/>
      <c r="E5" s="303"/>
      <c r="F5" s="303"/>
      <c r="G5" s="303"/>
    </row>
    <row r="6" spans="1:7" ht="18" x14ac:dyDescent="0.3">
      <c r="A6" s="91"/>
      <c r="B6" s="303" t="s">
        <v>443</v>
      </c>
      <c r="C6" s="303"/>
      <c r="D6" s="303"/>
      <c r="E6" s="303"/>
      <c r="F6" s="303"/>
      <c r="G6" s="303"/>
    </row>
    <row r="7" spans="1:7" ht="16.5" x14ac:dyDescent="0.3">
      <c r="A7" s="304" t="s">
        <v>452</v>
      </c>
      <c r="B7" s="304"/>
      <c r="C7" s="304"/>
      <c r="D7" s="304"/>
      <c r="E7" s="304"/>
      <c r="F7" s="304"/>
      <c r="G7" s="91"/>
    </row>
    <row r="8" spans="1:7" ht="16.5" x14ac:dyDescent="0.3">
      <c r="A8" s="304"/>
      <c r="B8" s="304"/>
      <c r="C8" s="304"/>
      <c r="D8" s="304"/>
      <c r="E8" s="304"/>
      <c r="F8" s="304"/>
      <c r="G8" s="91"/>
    </row>
    <row r="9" spans="1:7" ht="16.5" x14ac:dyDescent="0.3">
      <c r="A9" s="91"/>
      <c r="B9" s="301"/>
      <c r="C9" s="301"/>
      <c r="D9" s="301"/>
      <c r="E9" s="301"/>
      <c r="F9" s="91"/>
      <c r="G9" s="91"/>
    </row>
    <row r="10" spans="1:7" ht="38.25" x14ac:dyDescent="0.25">
      <c r="A10" s="122" t="s">
        <v>106</v>
      </c>
      <c r="B10" s="81" t="s">
        <v>0</v>
      </c>
      <c r="C10" s="123" t="s">
        <v>419</v>
      </c>
      <c r="D10" s="123" t="s">
        <v>420</v>
      </c>
      <c r="E10" s="123" t="s">
        <v>458</v>
      </c>
      <c r="F10" s="79"/>
      <c r="G10" s="79"/>
    </row>
    <row r="11" spans="1:7" ht="16.5" x14ac:dyDescent="0.3">
      <c r="A11" s="80" t="s">
        <v>440</v>
      </c>
      <c r="B11" s="9"/>
      <c r="C11" s="89"/>
      <c r="D11" s="89"/>
      <c r="E11" s="136">
        <f t="shared" ref="E11:E46" si="0">+(D11*2+C11)/3</f>
        <v>0</v>
      </c>
      <c r="F11" s="79"/>
      <c r="G11" s="79"/>
    </row>
    <row r="12" spans="1:7" ht="16.5" x14ac:dyDescent="0.3">
      <c r="A12" s="80" t="s">
        <v>318</v>
      </c>
      <c r="B12" s="9"/>
      <c r="C12" s="89"/>
      <c r="D12" s="89"/>
      <c r="E12" s="136">
        <f t="shared" si="0"/>
        <v>0</v>
      </c>
      <c r="F12" s="79"/>
      <c r="G12" s="79"/>
    </row>
    <row r="13" spans="1:7" ht="16.5" x14ac:dyDescent="0.3">
      <c r="A13" s="80" t="s">
        <v>319</v>
      </c>
      <c r="B13" s="9"/>
      <c r="C13" s="89"/>
      <c r="D13" s="89"/>
      <c r="E13" s="136">
        <f t="shared" si="0"/>
        <v>0</v>
      </c>
      <c r="F13" s="84"/>
      <c r="G13" s="84"/>
    </row>
    <row r="14" spans="1:7" ht="16.5" x14ac:dyDescent="0.3">
      <c r="A14" s="80" t="s">
        <v>320</v>
      </c>
      <c r="B14" s="9"/>
      <c r="C14" s="89"/>
      <c r="D14" s="89"/>
      <c r="E14" s="136">
        <f t="shared" si="0"/>
        <v>0</v>
      </c>
      <c r="F14" s="84"/>
      <c r="G14" s="84"/>
    </row>
    <row r="15" spans="1:7" ht="16.5" x14ac:dyDescent="0.3">
      <c r="A15" s="80" t="s">
        <v>321</v>
      </c>
      <c r="B15" s="9"/>
      <c r="C15" s="89"/>
      <c r="D15" s="89"/>
      <c r="E15" s="136">
        <f t="shared" si="0"/>
        <v>0</v>
      </c>
      <c r="F15" s="84"/>
      <c r="G15" s="84"/>
    </row>
    <row r="16" spans="1:7" ht="16.5" x14ac:dyDescent="0.3">
      <c r="A16" s="80" t="s">
        <v>322</v>
      </c>
      <c r="B16" s="9"/>
      <c r="C16" s="89"/>
      <c r="D16" s="89"/>
      <c r="E16" s="136">
        <f t="shared" si="0"/>
        <v>0</v>
      </c>
      <c r="F16" s="84"/>
      <c r="G16" s="84"/>
    </row>
    <row r="17" spans="1:7" ht="16.5" x14ac:dyDescent="0.3">
      <c r="A17" s="80" t="s">
        <v>323</v>
      </c>
      <c r="B17" s="9"/>
      <c r="C17" s="135"/>
      <c r="D17" s="89"/>
      <c r="E17" s="136">
        <f t="shared" si="0"/>
        <v>0</v>
      </c>
      <c r="F17" s="84"/>
      <c r="G17" s="84"/>
    </row>
    <row r="18" spans="1:7" ht="16.5" x14ac:dyDescent="0.3">
      <c r="A18" s="80" t="s">
        <v>324</v>
      </c>
      <c r="B18" s="9"/>
      <c r="C18" s="89"/>
      <c r="D18" s="89"/>
      <c r="E18" s="136">
        <f t="shared" si="0"/>
        <v>0</v>
      </c>
      <c r="F18" s="84"/>
      <c r="G18" s="84"/>
    </row>
    <row r="19" spans="1:7" ht="16.5" x14ac:dyDescent="0.3">
      <c r="A19" s="80" t="s">
        <v>325</v>
      </c>
      <c r="B19" s="9"/>
      <c r="C19" s="89"/>
      <c r="D19" s="89"/>
      <c r="E19" s="136">
        <f t="shared" si="0"/>
        <v>0</v>
      </c>
      <c r="F19" s="84"/>
      <c r="G19" s="84"/>
    </row>
    <row r="20" spans="1:7" ht="16.5" x14ac:dyDescent="0.3">
      <c r="A20" s="80" t="s">
        <v>326</v>
      </c>
      <c r="B20" s="9"/>
      <c r="C20" s="89"/>
      <c r="D20" s="89"/>
      <c r="E20" s="136">
        <f t="shared" si="0"/>
        <v>0</v>
      </c>
      <c r="F20" s="84"/>
      <c r="G20" s="84"/>
    </row>
    <row r="21" spans="1:7" ht="16.5" x14ac:dyDescent="0.3">
      <c r="A21" s="80" t="s">
        <v>327</v>
      </c>
      <c r="B21" s="9"/>
      <c r="C21" s="138"/>
      <c r="D21" s="138"/>
      <c r="E21" s="136">
        <f t="shared" si="0"/>
        <v>0</v>
      </c>
      <c r="F21" s="84"/>
      <c r="G21" s="84"/>
    </row>
    <row r="22" spans="1:7" ht="16.5" x14ac:dyDescent="0.3">
      <c r="A22" s="80" t="s">
        <v>328</v>
      </c>
      <c r="B22" s="9"/>
      <c r="C22" s="89"/>
      <c r="D22" s="89"/>
      <c r="E22" s="136">
        <f t="shared" si="0"/>
        <v>0</v>
      </c>
      <c r="F22" s="84"/>
      <c r="G22" s="84"/>
    </row>
    <row r="23" spans="1:7" ht="16.5" x14ac:dyDescent="0.3">
      <c r="A23" s="80" t="s">
        <v>329</v>
      </c>
      <c r="B23" s="9"/>
      <c r="C23" s="135"/>
      <c r="D23" s="89"/>
      <c r="E23" s="136">
        <f t="shared" si="0"/>
        <v>0</v>
      </c>
      <c r="F23" s="84"/>
      <c r="G23" s="84"/>
    </row>
    <row r="24" spans="1:7" ht="16.5" x14ac:dyDescent="0.3">
      <c r="A24" s="80" t="s">
        <v>330</v>
      </c>
      <c r="B24" s="9"/>
      <c r="C24" s="89"/>
      <c r="D24" s="89"/>
      <c r="E24" s="136">
        <f t="shared" si="0"/>
        <v>0</v>
      </c>
      <c r="F24" s="84"/>
      <c r="G24" s="84"/>
    </row>
    <row r="25" spans="1:7" ht="16.5" x14ac:dyDescent="0.3">
      <c r="A25" s="80" t="s">
        <v>331</v>
      </c>
      <c r="B25" s="9"/>
      <c r="C25" s="89"/>
      <c r="D25" s="89"/>
      <c r="E25" s="136">
        <f t="shared" si="0"/>
        <v>0</v>
      </c>
      <c r="F25" s="84"/>
      <c r="G25" s="84"/>
    </row>
    <row r="26" spans="1:7" ht="16.5" x14ac:dyDescent="0.3">
      <c r="A26" s="80" t="s">
        <v>332</v>
      </c>
      <c r="B26" s="9"/>
      <c r="C26" s="89"/>
      <c r="D26" s="89"/>
      <c r="E26" s="136">
        <f t="shared" si="0"/>
        <v>0</v>
      </c>
      <c r="F26" s="84"/>
      <c r="G26" s="84"/>
    </row>
    <row r="27" spans="1:7" ht="16.5" x14ac:dyDescent="0.3">
      <c r="A27" s="80" t="s">
        <v>333</v>
      </c>
      <c r="B27" s="9"/>
      <c r="C27" s="174"/>
      <c r="D27" s="174"/>
      <c r="E27" s="175">
        <f t="shared" si="0"/>
        <v>0</v>
      </c>
      <c r="F27" s="84"/>
      <c r="G27" s="84"/>
    </row>
    <row r="28" spans="1:7" ht="16.5" x14ac:dyDescent="0.25">
      <c r="A28" s="80" t="s">
        <v>334</v>
      </c>
      <c r="B28" s="9"/>
      <c r="C28" s="176"/>
      <c r="D28" s="176"/>
      <c r="E28" s="177">
        <f t="shared" si="0"/>
        <v>0</v>
      </c>
      <c r="F28" s="84"/>
      <c r="G28" s="84"/>
    </row>
    <row r="29" spans="1:7" ht="16.5" x14ac:dyDescent="0.3">
      <c r="A29" s="80" t="s">
        <v>335</v>
      </c>
      <c r="B29" s="9"/>
      <c r="C29" s="89"/>
      <c r="D29" s="89"/>
      <c r="E29" s="136">
        <f t="shared" si="0"/>
        <v>0</v>
      </c>
      <c r="F29" s="84"/>
      <c r="G29" s="84"/>
    </row>
    <row r="30" spans="1:7" ht="16.5" x14ac:dyDescent="0.3">
      <c r="A30" s="80" t="s">
        <v>336</v>
      </c>
      <c r="B30" s="82"/>
      <c r="C30" s="89"/>
      <c r="D30" s="89"/>
      <c r="E30" s="136">
        <f t="shared" si="0"/>
        <v>0</v>
      </c>
      <c r="F30" s="84"/>
      <c r="G30" s="84"/>
    </row>
    <row r="31" spans="1:7" ht="16.5" x14ac:dyDescent="0.3">
      <c r="A31" s="80" t="s">
        <v>337</v>
      </c>
      <c r="B31" s="82"/>
      <c r="C31" s="89"/>
      <c r="D31" s="89"/>
      <c r="E31" s="136">
        <f t="shared" si="0"/>
        <v>0</v>
      </c>
      <c r="F31" s="84"/>
      <c r="G31" s="84"/>
    </row>
    <row r="32" spans="1:7" ht="16.5" x14ac:dyDescent="0.3">
      <c r="A32" s="80" t="s">
        <v>338</v>
      </c>
      <c r="B32" s="82"/>
      <c r="C32" s="137"/>
      <c r="D32" s="138"/>
      <c r="E32" s="136">
        <f t="shared" si="0"/>
        <v>0</v>
      </c>
      <c r="F32" s="84"/>
      <c r="G32" s="84"/>
    </row>
    <row r="33" spans="1:7" ht="16.5" x14ac:dyDescent="0.3">
      <c r="A33" s="80" t="s">
        <v>339</v>
      </c>
      <c r="B33" s="82"/>
      <c r="C33" s="89"/>
      <c r="D33" s="89"/>
      <c r="E33" s="136">
        <f t="shared" si="0"/>
        <v>0</v>
      </c>
      <c r="F33" s="84"/>
      <c r="G33" s="84"/>
    </row>
    <row r="34" spans="1:7" ht="16.5" x14ac:dyDescent="0.25">
      <c r="A34" s="80" t="s">
        <v>340</v>
      </c>
      <c r="B34" s="82"/>
      <c r="C34" s="176"/>
      <c r="D34" s="176"/>
      <c r="E34" s="177">
        <f t="shared" si="0"/>
        <v>0</v>
      </c>
      <c r="F34" s="84"/>
      <c r="G34" s="84"/>
    </row>
    <row r="35" spans="1:7" ht="16.5" x14ac:dyDescent="0.3">
      <c r="A35" s="80" t="s">
        <v>341</v>
      </c>
      <c r="B35" s="82"/>
      <c r="C35" s="89"/>
      <c r="D35" s="89"/>
      <c r="E35" s="136">
        <f t="shared" si="0"/>
        <v>0</v>
      </c>
      <c r="F35" s="84"/>
      <c r="G35" s="84"/>
    </row>
    <row r="36" spans="1:7" ht="16.5" x14ac:dyDescent="0.3">
      <c r="A36" s="80" t="s">
        <v>342</v>
      </c>
      <c r="B36" s="82"/>
      <c r="C36" s="137"/>
      <c r="D36" s="137"/>
      <c r="E36" s="136">
        <f t="shared" si="0"/>
        <v>0</v>
      </c>
      <c r="F36" s="84"/>
      <c r="G36" s="84"/>
    </row>
    <row r="37" spans="1:7" ht="16.5" x14ac:dyDescent="0.3">
      <c r="A37" s="80" t="s">
        <v>343</v>
      </c>
      <c r="B37" s="82"/>
      <c r="C37" s="137"/>
      <c r="D37" s="138"/>
      <c r="E37" s="136">
        <f t="shared" si="0"/>
        <v>0</v>
      </c>
      <c r="F37" s="84"/>
      <c r="G37" s="84"/>
    </row>
    <row r="38" spans="1:7" ht="16.5" x14ac:dyDescent="0.3">
      <c r="A38" s="80" t="s">
        <v>344</v>
      </c>
      <c r="B38" s="82"/>
      <c r="C38" s="89"/>
      <c r="D38" s="89"/>
      <c r="E38" s="136">
        <f t="shared" si="0"/>
        <v>0</v>
      </c>
      <c r="F38" s="84"/>
      <c r="G38" s="84"/>
    </row>
    <row r="39" spans="1:7" ht="16.5" x14ac:dyDescent="0.3">
      <c r="A39" s="80" t="s">
        <v>345</v>
      </c>
      <c r="B39" s="82"/>
      <c r="C39" s="89"/>
      <c r="D39" s="89"/>
      <c r="E39" s="136">
        <f t="shared" si="0"/>
        <v>0</v>
      </c>
      <c r="F39" s="84"/>
      <c r="G39" s="84"/>
    </row>
    <row r="40" spans="1:7" ht="16.5" x14ac:dyDescent="0.3">
      <c r="A40" s="80" t="s">
        <v>346</v>
      </c>
      <c r="B40" s="82"/>
      <c r="C40" s="138"/>
      <c r="D40" s="138"/>
      <c r="E40" s="136">
        <f t="shared" si="0"/>
        <v>0</v>
      </c>
      <c r="F40" s="84"/>
      <c r="G40" s="84"/>
    </row>
    <row r="41" spans="1:7" ht="16.5" x14ac:dyDescent="0.3">
      <c r="A41" s="80" t="s">
        <v>347</v>
      </c>
      <c r="B41" s="82"/>
      <c r="C41" s="89"/>
      <c r="D41" s="89"/>
      <c r="E41" s="136">
        <f t="shared" si="0"/>
        <v>0</v>
      </c>
      <c r="F41" s="84"/>
      <c r="G41" s="84"/>
    </row>
    <row r="42" spans="1:7" ht="16.5" x14ac:dyDescent="0.3">
      <c r="A42" s="80" t="s">
        <v>348</v>
      </c>
      <c r="B42" s="82"/>
      <c r="C42" s="89"/>
      <c r="D42" s="89"/>
      <c r="E42" s="136">
        <f t="shared" si="0"/>
        <v>0</v>
      </c>
      <c r="F42" s="84"/>
      <c r="G42" s="84"/>
    </row>
    <row r="43" spans="1:7" ht="16.5" x14ac:dyDescent="0.3">
      <c r="A43" s="80" t="s">
        <v>349</v>
      </c>
      <c r="B43" s="82"/>
      <c r="C43" s="137"/>
      <c r="D43" s="138"/>
      <c r="E43" s="136">
        <f t="shared" si="0"/>
        <v>0</v>
      </c>
      <c r="F43" s="84"/>
      <c r="G43" s="84"/>
    </row>
    <row r="44" spans="1:7" ht="16.5" x14ac:dyDescent="0.3">
      <c r="A44" s="80" t="s">
        <v>350</v>
      </c>
      <c r="B44" s="82"/>
      <c r="C44" s="89"/>
      <c r="D44" s="89"/>
      <c r="E44" s="136">
        <f t="shared" si="0"/>
        <v>0</v>
      </c>
      <c r="F44" s="84"/>
      <c r="G44" s="84"/>
    </row>
    <row r="45" spans="1:7" ht="16.5" x14ac:dyDescent="0.3">
      <c r="A45" s="80" t="s">
        <v>351</v>
      </c>
      <c r="B45" s="82"/>
      <c r="C45" s="89"/>
      <c r="D45" s="89"/>
      <c r="E45" s="136">
        <f t="shared" si="0"/>
        <v>0</v>
      </c>
      <c r="F45" s="84"/>
      <c r="G45" s="84"/>
    </row>
    <row r="46" spans="1:7" ht="16.5" x14ac:dyDescent="0.3">
      <c r="A46" s="80" t="s">
        <v>352</v>
      </c>
      <c r="B46" s="82"/>
      <c r="C46" s="89"/>
      <c r="D46" s="89"/>
      <c r="E46" s="136">
        <f t="shared" si="0"/>
        <v>0</v>
      </c>
      <c r="F46" s="84"/>
      <c r="G46" s="84"/>
    </row>
    <row r="47" spans="1:7" ht="16.5" x14ac:dyDescent="0.25">
      <c r="A47" s="178"/>
      <c r="B47" s="121"/>
      <c r="C47" s="142"/>
      <c r="D47" s="142"/>
      <c r="E47" s="142"/>
      <c r="F47" s="84"/>
      <c r="G47" s="84"/>
    </row>
    <row r="48" spans="1:7" x14ac:dyDescent="0.25">
      <c r="A48" s="84"/>
      <c r="B48" s="179"/>
      <c r="C48" s="84"/>
      <c r="D48" s="84"/>
      <c r="E48" s="84"/>
      <c r="F48" s="84"/>
      <c r="G48" s="84"/>
    </row>
    <row r="49" spans="1:7" ht="16.5" x14ac:dyDescent="0.3">
      <c r="A49" s="91"/>
      <c r="B49" s="291" t="s">
        <v>392</v>
      </c>
      <c r="C49" s="291"/>
      <c r="D49" s="291"/>
      <c r="E49" s="291"/>
      <c r="F49" s="86"/>
      <c r="G49" s="79"/>
    </row>
    <row r="50" spans="1:7" ht="16.5" x14ac:dyDescent="0.3">
      <c r="A50" s="91"/>
      <c r="B50" s="91"/>
      <c r="C50" s="91"/>
      <c r="D50" s="91"/>
      <c r="E50" s="91"/>
      <c r="F50" s="86"/>
      <c r="G50" s="84"/>
    </row>
    <row r="51" spans="1:7" ht="16.5" x14ac:dyDescent="0.3">
      <c r="A51" s="91"/>
      <c r="B51" s="91"/>
      <c r="C51" s="87" t="s">
        <v>393</v>
      </c>
      <c r="D51" s="87" t="s">
        <v>394</v>
      </c>
      <c r="E51" s="87" t="s">
        <v>395</v>
      </c>
      <c r="F51" s="86"/>
      <c r="G51" s="84"/>
    </row>
    <row r="52" spans="1:7" ht="16.5" x14ac:dyDescent="0.3">
      <c r="A52" s="91"/>
      <c r="B52" s="88" t="s">
        <v>396</v>
      </c>
      <c r="C52" s="89">
        <v>12</v>
      </c>
      <c r="D52" s="89">
        <v>22</v>
      </c>
      <c r="E52" s="89">
        <f>SUM(C52:D52)</f>
        <v>34</v>
      </c>
      <c r="F52" s="86"/>
      <c r="G52" s="84"/>
    </row>
    <row r="53" spans="1:7" ht="16.5" x14ac:dyDescent="0.3">
      <c r="A53" s="91"/>
      <c r="B53" s="87" t="s">
        <v>397</v>
      </c>
      <c r="C53" s="89">
        <v>8</v>
      </c>
      <c r="D53" s="89">
        <v>17</v>
      </c>
      <c r="E53" s="89">
        <f>SUM(C53:D53)</f>
        <v>25</v>
      </c>
      <c r="F53" s="86"/>
      <c r="G53" s="79"/>
    </row>
    <row r="54" spans="1:7" ht="16.5" x14ac:dyDescent="0.3">
      <c r="A54" s="91"/>
      <c r="B54" s="87" t="s">
        <v>398</v>
      </c>
      <c r="C54" s="89">
        <v>4</v>
      </c>
      <c r="D54" s="89">
        <v>5</v>
      </c>
      <c r="E54" s="89">
        <f>SUM(C54:D54)</f>
        <v>9</v>
      </c>
      <c r="F54" s="86"/>
      <c r="G54" s="84"/>
    </row>
    <row r="55" spans="1:7" ht="16.5" x14ac:dyDescent="0.3">
      <c r="A55" s="91"/>
      <c r="B55" s="87" t="s">
        <v>399</v>
      </c>
      <c r="C55" s="89">
        <v>7</v>
      </c>
      <c r="D55" s="89">
        <v>10</v>
      </c>
      <c r="E55" s="89">
        <f>SUM(C55:D55)</f>
        <v>17</v>
      </c>
      <c r="F55" s="86"/>
      <c r="G55" s="91"/>
    </row>
    <row r="56" spans="1:7" ht="16.5" x14ac:dyDescent="0.3">
      <c r="A56" s="91"/>
      <c r="B56" s="87" t="s">
        <v>400</v>
      </c>
      <c r="C56" s="89">
        <v>5</v>
      </c>
      <c r="D56" s="89">
        <v>12</v>
      </c>
      <c r="E56" s="89">
        <f>SUM(C56:D56)</f>
        <v>17</v>
      </c>
      <c r="F56" s="86"/>
      <c r="G56" s="91"/>
    </row>
    <row r="57" spans="1:7" ht="16.5" x14ac:dyDescent="0.3">
      <c r="A57" s="91"/>
      <c r="B57" s="87" t="s">
        <v>401</v>
      </c>
      <c r="C57" s="90">
        <f>+C55/C52</f>
        <v>0.58333333333333337</v>
      </c>
      <c r="D57" s="90">
        <f>+D55/D52</f>
        <v>0.45454545454545453</v>
      </c>
      <c r="E57" s="90">
        <f>+E55/E52</f>
        <v>0.5</v>
      </c>
      <c r="F57" s="86"/>
      <c r="G57" s="91"/>
    </row>
    <row r="58" spans="1:7" ht="16.5" x14ac:dyDescent="0.3">
      <c r="A58" s="86"/>
      <c r="B58" s="86"/>
      <c r="C58" s="86"/>
      <c r="D58" s="86"/>
      <c r="E58" s="86"/>
      <c r="F58" s="86"/>
      <c r="G58" s="91"/>
    </row>
    <row r="59" spans="1:7" ht="16.5" x14ac:dyDescent="0.3">
      <c r="A59" s="91"/>
      <c r="B59" s="91"/>
      <c r="C59" s="91"/>
      <c r="D59" s="77" t="s">
        <v>418</v>
      </c>
      <c r="E59" s="77"/>
      <c r="F59" s="143"/>
      <c r="G59" s="91"/>
    </row>
    <row r="60" spans="1:7" ht="16.5" x14ac:dyDescent="0.3">
      <c r="A60" s="91"/>
      <c r="B60" s="91"/>
      <c r="C60" s="91"/>
      <c r="D60" s="91"/>
      <c r="E60" s="91"/>
      <c r="F60" s="86"/>
      <c r="G60" s="91"/>
    </row>
    <row r="61" spans="1:7" ht="16.5" x14ac:dyDescent="0.3">
      <c r="A61" s="303" t="s">
        <v>403</v>
      </c>
      <c r="B61" s="303"/>
      <c r="C61" s="77"/>
      <c r="D61" s="77"/>
      <c r="E61" s="77" t="s">
        <v>404</v>
      </c>
      <c r="F61" s="143"/>
      <c r="G61" s="91"/>
    </row>
    <row r="62" spans="1:7" ht="16.5" x14ac:dyDescent="0.3">
      <c r="A62" s="91"/>
      <c r="B62" s="91"/>
      <c r="C62" s="91"/>
      <c r="D62" s="91"/>
      <c r="E62" s="91"/>
      <c r="F62" s="86"/>
      <c r="G62" s="91"/>
    </row>
    <row r="63" spans="1:7" ht="16.5" x14ac:dyDescent="0.3">
      <c r="A63" s="91"/>
      <c r="B63" s="91"/>
      <c r="C63" s="91"/>
      <c r="D63" s="91"/>
      <c r="E63" s="91"/>
      <c r="F63" s="86"/>
      <c r="G63" s="91"/>
    </row>
    <row r="64" spans="1:7" ht="16.5" x14ac:dyDescent="0.3">
      <c r="A64" s="91"/>
      <c r="B64" s="91"/>
      <c r="C64" s="91"/>
      <c r="D64" s="91"/>
      <c r="E64" s="91"/>
      <c r="F64" s="86"/>
      <c r="G64" s="91"/>
    </row>
    <row r="65" spans="1:7" ht="16.5" x14ac:dyDescent="0.3">
      <c r="A65" s="303" t="s">
        <v>424</v>
      </c>
      <c r="B65" s="303"/>
      <c r="C65" s="77"/>
      <c r="D65" s="77"/>
      <c r="E65" s="77" t="s">
        <v>8</v>
      </c>
      <c r="F65" s="143"/>
      <c r="G65" s="91"/>
    </row>
    <row r="66" spans="1:7" ht="16.5" x14ac:dyDescent="0.3">
      <c r="A66" s="91"/>
      <c r="B66" s="85"/>
      <c r="C66" s="91"/>
      <c r="D66" s="91"/>
      <c r="E66" s="91"/>
      <c r="F66" s="91"/>
      <c r="G66" s="91"/>
    </row>
  </sheetData>
  <mergeCells count="9">
    <mergeCell ref="B49:E49"/>
    <mergeCell ref="A61:B61"/>
    <mergeCell ref="A65:B65"/>
    <mergeCell ref="C1:E1"/>
    <mergeCell ref="C2:E2"/>
    <mergeCell ref="B5:G5"/>
    <mergeCell ref="B6:G6"/>
    <mergeCell ref="A7:F8"/>
    <mergeCell ref="B9:E9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I65"/>
  <sheetViews>
    <sheetView topLeftCell="A22" workbookViewId="0">
      <selection activeCell="C42" sqref="C42"/>
    </sheetView>
  </sheetViews>
  <sheetFormatPr baseColWidth="10" defaultRowHeight="15" x14ac:dyDescent="0.25"/>
  <cols>
    <col min="1" max="1" width="6.7109375" customWidth="1"/>
    <col min="2" max="2" width="34.5703125" customWidth="1"/>
    <col min="3" max="3" width="13.140625" customWidth="1"/>
    <col min="4" max="4" width="13.85546875" customWidth="1"/>
  </cols>
  <sheetData>
    <row r="1" spans="1:7" ht="20.25" x14ac:dyDescent="0.3">
      <c r="A1" s="92"/>
      <c r="B1" s="266"/>
      <c r="C1" s="267"/>
      <c r="D1" s="267"/>
      <c r="E1" s="267"/>
      <c r="F1" s="266"/>
      <c r="G1" s="266"/>
    </row>
    <row r="2" spans="1:7" ht="20.25" x14ac:dyDescent="0.3">
      <c r="A2" s="1" t="s">
        <v>929</v>
      </c>
      <c r="B2" s="6"/>
      <c r="C2" s="31" t="s">
        <v>5</v>
      </c>
      <c r="D2" s="31"/>
      <c r="E2" s="31"/>
      <c r="F2" s="2"/>
      <c r="G2" s="2"/>
    </row>
    <row r="3" spans="1:7" ht="16.5" x14ac:dyDescent="0.3">
      <c r="A3" s="1" t="s">
        <v>930</v>
      </c>
      <c r="B3" s="6"/>
      <c r="C3" s="276" t="s">
        <v>6</v>
      </c>
      <c r="D3" s="276"/>
      <c r="E3" s="276"/>
      <c r="F3" s="2"/>
      <c r="G3" s="2"/>
    </row>
    <row r="4" spans="1:7" ht="16.5" x14ac:dyDescent="0.3">
      <c r="A4" s="1" t="s">
        <v>931</v>
      </c>
      <c r="B4" s="6"/>
      <c r="C4" s="2"/>
      <c r="D4" s="2"/>
      <c r="E4" s="2"/>
      <c r="F4" s="2"/>
      <c r="G4" s="2"/>
    </row>
    <row r="5" spans="1:7" ht="16.5" x14ac:dyDescent="0.3">
      <c r="A5" s="1" t="s">
        <v>932</v>
      </c>
      <c r="B5" s="6"/>
      <c r="C5" s="2"/>
      <c r="D5" s="3"/>
      <c r="E5" s="3"/>
      <c r="F5" s="2"/>
      <c r="G5" s="2"/>
    </row>
    <row r="6" spans="1:7" ht="18.75" x14ac:dyDescent="0.3">
      <c r="A6" s="2"/>
      <c r="B6" s="283" t="s">
        <v>1047</v>
      </c>
      <c r="C6" s="283"/>
      <c r="D6" s="283"/>
      <c r="E6" s="283"/>
      <c r="F6" s="283"/>
      <c r="G6" s="283"/>
    </row>
    <row r="7" spans="1:7" ht="21" x14ac:dyDescent="0.3">
      <c r="A7" s="2"/>
      <c r="B7" s="4"/>
      <c r="C7" s="283" t="s">
        <v>1162</v>
      </c>
      <c r="D7" s="283"/>
      <c r="E7" s="283"/>
      <c r="F7" s="283"/>
      <c r="G7" s="283"/>
    </row>
    <row r="8" spans="1:7" ht="15" customHeight="1" x14ac:dyDescent="0.25">
      <c r="A8" s="381" t="s">
        <v>1046</v>
      </c>
      <c r="B8" s="381"/>
      <c r="C8" s="381"/>
      <c r="D8" s="381"/>
      <c r="E8" s="381"/>
      <c r="F8" s="381"/>
      <c r="G8" s="381"/>
    </row>
    <row r="9" spans="1:7" ht="15" customHeight="1" x14ac:dyDescent="0.25">
      <c r="A9" s="381"/>
      <c r="B9" s="381"/>
      <c r="C9" s="381"/>
      <c r="D9" s="381"/>
      <c r="E9" s="381"/>
      <c r="F9" s="381"/>
      <c r="G9" s="381"/>
    </row>
    <row r="10" spans="1:7" ht="33" customHeight="1" x14ac:dyDescent="0.25">
      <c r="A10" s="328" t="s">
        <v>106</v>
      </c>
      <c r="B10" s="382" t="s">
        <v>0</v>
      </c>
      <c r="C10" s="370" t="s">
        <v>210</v>
      </c>
      <c r="D10" s="370" t="s">
        <v>445</v>
      </c>
      <c r="E10" s="370" t="s">
        <v>446</v>
      </c>
      <c r="F10" s="383"/>
      <c r="G10" s="383"/>
    </row>
    <row r="11" spans="1:7" ht="18.75" x14ac:dyDescent="0.25">
      <c r="A11" s="384" t="s">
        <v>110</v>
      </c>
      <c r="B11" s="329" t="s">
        <v>770</v>
      </c>
      <c r="C11" s="315">
        <v>10.314285714285715</v>
      </c>
      <c r="D11" s="315">
        <v>13.965079365079367</v>
      </c>
      <c r="E11" s="317">
        <f>SUM(C11+D11)/2</f>
        <v>12.139682539682541</v>
      </c>
      <c r="F11" s="383"/>
      <c r="G11" s="383"/>
    </row>
    <row r="12" spans="1:7" ht="20.25" x14ac:dyDescent="0.25">
      <c r="A12" s="384" t="s">
        <v>1177</v>
      </c>
      <c r="B12" s="329" t="s">
        <v>769</v>
      </c>
      <c r="C12" s="315">
        <v>10.506349206349206</v>
      </c>
      <c r="D12" s="315">
        <v>12.385714285714286</v>
      </c>
      <c r="E12" s="317">
        <f>SUM(C12+D12)/2</f>
        <v>11.446031746031746</v>
      </c>
      <c r="F12" s="383"/>
      <c r="G12" s="383"/>
    </row>
    <row r="13" spans="1:7" ht="20.25" x14ac:dyDescent="0.25">
      <c r="A13" s="384" t="s">
        <v>1178</v>
      </c>
      <c r="B13" s="329" t="s">
        <v>876</v>
      </c>
      <c r="C13" s="373">
        <v>2.9730158730158731</v>
      </c>
      <c r="D13" s="315">
        <v>1.3015873015873016</v>
      </c>
      <c r="E13" s="317">
        <f>SUM(C13+D13)/2</f>
        <v>2.1373015873015873</v>
      </c>
      <c r="F13" s="383"/>
      <c r="G13" s="383"/>
    </row>
    <row r="14" spans="1:7" ht="18" x14ac:dyDescent="0.25">
      <c r="A14" s="385"/>
      <c r="B14" s="386"/>
      <c r="C14" s="387"/>
      <c r="D14" s="387"/>
      <c r="E14" s="387"/>
      <c r="F14" s="383"/>
      <c r="G14" s="383"/>
    </row>
    <row r="15" spans="1:7" ht="18" x14ac:dyDescent="0.25">
      <c r="A15" s="383"/>
      <c r="B15" s="388"/>
      <c r="C15" s="383"/>
      <c r="D15" s="383"/>
      <c r="E15" s="383"/>
      <c r="F15" s="383"/>
      <c r="G15" s="383"/>
    </row>
    <row r="16" spans="1:7" ht="18" x14ac:dyDescent="0.25">
      <c r="A16" s="383"/>
      <c r="B16" s="336" t="s">
        <v>392</v>
      </c>
      <c r="C16" s="336"/>
      <c r="D16" s="336"/>
      <c r="E16" s="336"/>
      <c r="F16" s="383"/>
      <c r="G16" s="383"/>
    </row>
    <row r="17" spans="1:9" ht="18" x14ac:dyDescent="0.25">
      <c r="A17" s="383"/>
      <c r="B17" s="383"/>
      <c r="C17" s="383"/>
      <c r="D17" s="383"/>
      <c r="E17" s="383"/>
      <c r="F17" s="383"/>
      <c r="G17" s="383"/>
    </row>
    <row r="18" spans="1:9" ht="18" x14ac:dyDescent="0.25">
      <c r="A18" s="383"/>
      <c r="B18" s="383"/>
      <c r="C18" s="273" t="s">
        <v>393</v>
      </c>
      <c r="D18" s="273" t="s">
        <v>394</v>
      </c>
      <c r="E18" s="273" t="s">
        <v>395</v>
      </c>
      <c r="F18" s="383"/>
      <c r="G18" s="383"/>
    </row>
    <row r="19" spans="1:9" ht="18" x14ac:dyDescent="0.25">
      <c r="A19" s="383"/>
      <c r="B19" s="389" t="s">
        <v>396</v>
      </c>
      <c r="C19" s="273">
        <v>1</v>
      </c>
      <c r="D19" s="273">
        <v>2</v>
      </c>
      <c r="E19" s="273">
        <v>3</v>
      </c>
      <c r="F19" s="383"/>
      <c r="G19" s="383"/>
    </row>
    <row r="20" spans="1:9" ht="18" x14ac:dyDescent="0.25">
      <c r="A20" s="383"/>
      <c r="B20" s="273" t="s">
        <v>397</v>
      </c>
      <c r="C20" s="273">
        <v>1</v>
      </c>
      <c r="D20" s="273">
        <v>1</v>
      </c>
      <c r="E20" s="273">
        <v>2</v>
      </c>
      <c r="F20" s="383"/>
      <c r="G20" s="383"/>
    </row>
    <row r="21" spans="1:9" ht="18" x14ac:dyDescent="0.25">
      <c r="A21" s="383"/>
      <c r="B21" s="273" t="s">
        <v>398</v>
      </c>
      <c r="C21" s="273">
        <v>0</v>
      </c>
      <c r="D21" s="273">
        <v>1</v>
      </c>
      <c r="E21" s="273">
        <f>SUM(C21:D21)</f>
        <v>1</v>
      </c>
      <c r="F21" s="383"/>
      <c r="G21" s="383"/>
    </row>
    <row r="22" spans="1:9" ht="18" x14ac:dyDescent="0.25">
      <c r="A22" s="383"/>
      <c r="B22" s="273" t="s">
        <v>399</v>
      </c>
      <c r="C22" s="273">
        <v>1</v>
      </c>
      <c r="D22" s="273">
        <v>1</v>
      </c>
      <c r="E22" s="273">
        <v>2</v>
      </c>
      <c r="F22" s="383"/>
      <c r="G22" s="383"/>
    </row>
    <row r="23" spans="1:9" ht="18" x14ac:dyDescent="0.25">
      <c r="A23" s="383"/>
      <c r="B23" s="273" t="s">
        <v>400</v>
      </c>
      <c r="C23" s="273">
        <v>0</v>
      </c>
      <c r="D23" s="273">
        <v>1</v>
      </c>
      <c r="E23" s="273">
        <v>1</v>
      </c>
      <c r="F23" s="383"/>
      <c r="G23" s="383"/>
    </row>
    <row r="24" spans="1:9" ht="18" x14ac:dyDescent="0.25">
      <c r="A24" s="383"/>
      <c r="B24" s="273" t="s">
        <v>401</v>
      </c>
      <c r="C24" s="274">
        <f>+C22/C19</f>
        <v>1</v>
      </c>
      <c r="D24" s="274">
        <f>+D22/D19</f>
        <v>0.5</v>
      </c>
      <c r="E24" s="274">
        <f>+E22/E19</f>
        <v>0.66666666666666663</v>
      </c>
      <c r="F24" s="383"/>
      <c r="G24" s="383"/>
    </row>
    <row r="25" spans="1:9" ht="18.75" x14ac:dyDescent="0.3">
      <c r="A25" s="390"/>
      <c r="B25" s="390"/>
      <c r="C25" s="390"/>
      <c r="D25" s="390"/>
      <c r="E25" s="390"/>
      <c r="F25" s="383"/>
      <c r="G25" s="383"/>
    </row>
    <row r="26" spans="1:9" ht="18.75" x14ac:dyDescent="0.3">
      <c r="A26" s="383"/>
      <c r="B26" s="383" t="s">
        <v>1054</v>
      </c>
      <c r="C26" s="383"/>
      <c r="D26" s="390"/>
      <c r="E26" s="390"/>
      <c r="F26" s="383"/>
      <c r="G26" s="383"/>
    </row>
    <row r="27" spans="1:9" ht="18" x14ac:dyDescent="0.25">
      <c r="A27" s="383"/>
      <c r="B27" s="383"/>
      <c r="C27" s="383"/>
      <c r="D27" s="383"/>
      <c r="E27" s="383"/>
      <c r="F27" s="383"/>
      <c r="G27" s="383"/>
    </row>
    <row r="28" spans="1:9" ht="16.5" customHeight="1" x14ac:dyDescent="0.3">
      <c r="A28" s="390"/>
      <c r="B28" s="390" t="s">
        <v>1053</v>
      </c>
      <c r="C28" s="383"/>
      <c r="D28" s="391" t="s">
        <v>404</v>
      </c>
      <c r="E28" s="391"/>
      <c r="F28" s="383"/>
      <c r="G28" s="383"/>
    </row>
    <row r="29" spans="1:9" ht="16.5" customHeight="1" x14ac:dyDescent="0.25">
      <c r="A29" s="383"/>
      <c r="B29" s="383"/>
      <c r="C29" s="383"/>
      <c r="D29" s="383"/>
      <c r="E29" s="383"/>
      <c r="F29" s="383"/>
      <c r="G29" s="383"/>
    </row>
    <row r="30" spans="1:9" ht="16.5" customHeight="1" x14ac:dyDescent="0.25">
      <c r="A30" s="383"/>
      <c r="B30" s="383"/>
      <c r="C30" s="383"/>
      <c r="D30" s="383"/>
      <c r="E30" s="383"/>
      <c r="F30" s="383"/>
      <c r="G30" s="383"/>
    </row>
    <row r="31" spans="1:9" ht="16.5" customHeight="1" x14ac:dyDescent="0.25">
      <c r="A31" s="383"/>
      <c r="B31" s="383"/>
      <c r="C31" s="383"/>
      <c r="D31" s="383"/>
      <c r="E31" s="383"/>
      <c r="F31" s="383"/>
      <c r="G31" s="383"/>
      <c r="I31" s="190"/>
    </row>
    <row r="32" spans="1:9" ht="16.5" customHeight="1" x14ac:dyDescent="0.25">
      <c r="A32" s="383" t="s">
        <v>1052</v>
      </c>
      <c r="B32" s="383"/>
      <c r="C32" s="383"/>
      <c r="D32" s="391" t="s">
        <v>1055</v>
      </c>
      <c r="E32" s="391"/>
      <c r="F32" s="383"/>
      <c r="G32" s="383"/>
      <c r="I32" s="190"/>
    </row>
    <row r="33" spans="1:9" ht="16.5" x14ac:dyDescent="0.3">
      <c r="A33" s="91"/>
      <c r="B33" s="85"/>
      <c r="C33" s="91"/>
      <c r="D33" s="91"/>
      <c r="E33" s="91"/>
      <c r="F33" s="84"/>
      <c r="G33" s="84"/>
      <c r="I33" s="190"/>
    </row>
    <row r="34" spans="1:9" ht="16.5" customHeight="1" x14ac:dyDescent="0.25">
      <c r="F34" s="84"/>
      <c r="G34" s="84"/>
      <c r="I34" s="190"/>
    </row>
    <row r="35" spans="1:9" x14ac:dyDescent="0.25">
      <c r="F35" s="84"/>
      <c r="G35" s="84"/>
      <c r="I35" s="190"/>
    </row>
    <row r="36" spans="1:9" x14ac:dyDescent="0.25">
      <c r="F36" s="84"/>
      <c r="G36" s="84"/>
      <c r="I36" s="190"/>
    </row>
    <row r="37" spans="1:9" x14ac:dyDescent="0.25">
      <c r="F37" s="84"/>
      <c r="G37" s="84"/>
      <c r="I37" s="190"/>
    </row>
    <row r="38" spans="1:9" x14ac:dyDescent="0.25">
      <c r="F38" s="84"/>
      <c r="G38" s="84"/>
      <c r="I38" s="190"/>
    </row>
    <row r="39" spans="1:9" x14ac:dyDescent="0.25">
      <c r="F39" s="84"/>
      <c r="G39" s="84"/>
      <c r="I39" s="190"/>
    </row>
    <row r="40" spans="1:9" x14ac:dyDescent="0.25">
      <c r="F40" s="84"/>
      <c r="G40" s="84"/>
      <c r="I40" s="190"/>
    </row>
    <row r="41" spans="1:9" ht="16.5" customHeight="1" x14ac:dyDescent="0.25">
      <c r="F41" s="84"/>
      <c r="G41" s="84"/>
      <c r="I41" s="190"/>
    </row>
    <row r="42" spans="1:9" x14ac:dyDescent="0.25">
      <c r="F42" s="84"/>
      <c r="G42" s="84"/>
      <c r="I42" s="190"/>
    </row>
    <row r="43" spans="1:9" ht="21.75" customHeight="1" x14ac:dyDescent="0.25">
      <c r="F43" s="84"/>
      <c r="G43" s="84"/>
    </row>
    <row r="44" spans="1:9" x14ac:dyDescent="0.25">
      <c r="F44" s="84"/>
      <c r="G44" s="84"/>
    </row>
    <row r="45" spans="1:9" x14ac:dyDescent="0.25">
      <c r="F45" s="84"/>
      <c r="G45" s="84"/>
    </row>
    <row r="46" spans="1:9" x14ac:dyDescent="0.25">
      <c r="F46" s="84"/>
      <c r="G46" s="84"/>
    </row>
    <row r="47" spans="1:9" x14ac:dyDescent="0.25">
      <c r="F47" s="84"/>
      <c r="G47" s="84"/>
    </row>
    <row r="48" spans="1:9" x14ac:dyDescent="0.25">
      <c r="F48" s="86"/>
      <c r="G48" s="79"/>
    </row>
    <row r="49" spans="6:7" x14ac:dyDescent="0.25">
      <c r="F49" s="86"/>
      <c r="G49" s="84"/>
    </row>
    <row r="50" spans="6:7" x14ac:dyDescent="0.25">
      <c r="F50" s="86"/>
      <c r="G50" s="84"/>
    </row>
    <row r="51" spans="6:7" x14ac:dyDescent="0.25">
      <c r="F51" s="86"/>
      <c r="G51" s="84"/>
    </row>
    <row r="52" spans="6:7" x14ac:dyDescent="0.25">
      <c r="F52" s="86"/>
      <c r="G52" s="79"/>
    </row>
    <row r="53" spans="6:7" x14ac:dyDescent="0.25">
      <c r="F53" s="86"/>
      <c r="G53" s="84"/>
    </row>
    <row r="54" spans="6:7" ht="16.5" x14ac:dyDescent="0.3">
      <c r="F54" s="86"/>
      <c r="G54" s="91"/>
    </row>
    <row r="55" spans="6:7" ht="16.5" x14ac:dyDescent="0.3">
      <c r="F55" s="86"/>
      <c r="G55" s="91"/>
    </row>
    <row r="56" spans="6:7" ht="16.5" x14ac:dyDescent="0.3">
      <c r="F56" s="86"/>
      <c r="G56" s="91"/>
    </row>
    <row r="57" spans="6:7" ht="16.5" x14ac:dyDescent="0.3">
      <c r="F57" s="86"/>
      <c r="G57" s="91"/>
    </row>
    <row r="58" spans="6:7" ht="16.5" x14ac:dyDescent="0.3">
      <c r="F58" s="143"/>
      <c r="G58" s="91"/>
    </row>
    <row r="59" spans="6:7" ht="16.5" x14ac:dyDescent="0.3">
      <c r="F59" s="86"/>
      <c r="G59" s="91"/>
    </row>
    <row r="60" spans="6:7" ht="16.5" x14ac:dyDescent="0.3">
      <c r="F60" s="143"/>
      <c r="G60" s="91"/>
    </row>
    <row r="61" spans="6:7" ht="16.5" x14ac:dyDescent="0.3">
      <c r="F61" s="86"/>
      <c r="G61" s="91"/>
    </row>
    <row r="62" spans="6:7" ht="16.5" x14ac:dyDescent="0.3">
      <c r="F62" s="86"/>
      <c r="G62" s="91"/>
    </row>
    <row r="63" spans="6:7" ht="16.5" x14ac:dyDescent="0.3">
      <c r="F63" s="86"/>
      <c r="G63" s="91"/>
    </row>
    <row r="64" spans="6:7" ht="16.5" x14ac:dyDescent="0.3">
      <c r="F64" s="143"/>
      <c r="G64" s="91"/>
    </row>
    <row r="65" spans="6:7" ht="16.5" x14ac:dyDescent="0.3">
      <c r="F65" s="91"/>
      <c r="G65" s="91"/>
    </row>
  </sheetData>
  <sortState ref="B11:E14">
    <sortCondition descending="1" ref="E11:E14"/>
  </sortState>
  <mergeCells count="7">
    <mergeCell ref="D28:E28"/>
    <mergeCell ref="D32:E32"/>
    <mergeCell ref="B16:E16"/>
    <mergeCell ref="B6:G6"/>
    <mergeCell ref="C3:E3"/>
    <mergeCell ref="C7:G7"/>
    <mergeCell ref="A8:G9"/>
  </mergeCells>
  <printOptions horizontalCentered="1"/>
  <pageMargins left="0.70866141732283472" right="0.70866141732283472" top="0.74803149606299213" bottom="0.74803149606299213" header="0.31496062992125984" footer="0.31496062992125984"/>
  <pageSetup scale="95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G91"/>
  <sheetViews>
    <sheetView topLeftCell="A5" zoomScale="106" zoomScaleNormal="106" workbookViewId="0">
      <selection activeCell="B11" sqref="B11:B19"/>
    </sheetView>
  </sheetViews>
  <sheetFormatPr baseColWidth="10" defaultColWidth="11.42578125" defaultRowHeight="16.5" x14ac:dyDescent="0.3"/>
  <cols>
    <col min="1" max="1" width="5.28515625" style="2" customWidth="1"/>
    <col min="2" max="2" width="33.85546875" style="4" customWidth="1"/>
    <col min="3" max="3" width="11.85546875" style="2" customWidth="1"/>
    <col min="4" max="4" width="11.42578125" style="2" customWidth="1"/>
    <col min="5" max="5" width="11.85546875" style="2" customWidth="1"/>
    <col min="6" max="16384" width="11.42578125" style="2"/>
  </cols>
  <sheetData>
    <row r="1" spans="1:7" ht="20.25" x14ac:dyDescent="0.3">
      <c r="A1" s="1" t="s">
        <v>929</v>
      </c>
      <c r="B1" s="6"/>
      <c r="C1" s="311" t="s">
        <v>5</v>
      </c>
      <c r="D1" s="311"/>
      <c r="E1" s="311"/>
    </row>
    <row r="2" spans="1:7" x14ac:dyDescent="0.3">
      <c r="A2" s="1" t="s">
        <v>930</v>
      </c>
      <c r="B2" s="6"/>
      <c r="C2" s="310" t="s">
        <v>6</v>
      </c>
      <c r="D2" s="310"/>
      <c r="E2" s="310"/>
    </row>
    <row r="3" spans="1:7" x14ac:dyDescent="0.3">
      <c r="A3" s="1" t="s">
        <v>931</v>
      </c>
      <c r="B3" s="6"/>
    </row>
    <row r="4" spans="1:7" x14ac:dyDescent="0.3">
      <c r="A4" s="1" t="s">
        <v>932</v>
      </c>
      <c r="B4" s="6"/>
      <c r="D4" s="3"/>
      <c r="E4" s="3"/>
    </row>
    <row r="5" spans="1:7" x14ac:dyDescent="0.3">
      <c r="B5" s="279" t="s">
        <v>934</v>
      </c>
      <c r="C5" s="279"/>
      <c r="D5" s="279"/>
      <c r="E5" s="279"/>
      <c r="F5" s="279"/>
      <c r="G5" s="279"/>
    </row>
    <row r="6" spans="1:7" ht="18" x14ac:dyDescent="0.3">
      <c r="B6" s="285" t="s">
        <v>426</v>
      </c>
      <c r="C6" s="285"/>
      <c r="D6" s="285"/>
      <c r="E6" s="285"/>
      <c r="F6" s="285"/>
      <c r="G6" s="285"/>
    </row>
    <row r="7" spans="1:7" ht="15" customHeight="1" x14ac:dyDescent="0.3">
      <c r="A7" s="280" t="s">
        <v>940</v>
      </c>
      <c r="B7" s="280"/>
      <c r="C7" s="280"/>
      <c r="D7" s="280"/>
      <c r="E7" s="280"/>
      <c r="F7" s="280"/>
    </row>
    <row r="8" spans="1:7" x14ac:dyDescent="0.3">
      <c r="A8" s="280"/>
      <c r="B8" s="280"/>
      <c r="C8" s="280"/>
      <c r="D8" s="280"/>
      <c r="E8" s="280"/>
      <c r="F8" s="280"/>
    </row>
    <row r="9" spans="1:7" x14ac:dyDescent="0.3">
      <c r="B9" s="278"/>
      <c r="C9" s="278"/>
      <c r="D9" s="278"/>
      <c r="E9" s="278"/>
    </row>
    <row r="10" spans="1:7" s="8" customFormat="1" ht="33" customHeight="1" x14ac:dyDescent="0.2">
      <c r="A10" s="30" t="s">
        <v>106</v>
      </c>
      <c r="B10" s="29" t="s">
        <v>0</v>
      </c>
      <c r="C10" s="35" t="s">
        <v>419</v>
      </c>
      <c r="D10" s="35" t="s">
        <v>420</v>
      </c>
      <c r="E10" s="35" t="s">
        <v>210</v>
      </c>
    </row>
    <row r="11" spans="1:7" s="5" customFormat="1" ht="18" x14ac:dyDescent="0.3">
      <c r="A11" s="10" t="s">
        <v>442</v>
      </c>
      <c r="B11" s="9" t="s">
        <v>783</v>
      </c>
      <c r="C11" s="216">
        <v>17.25</v>
      </c>
      <c r="D11" s="60">
        <v>13.421052631578947</v>
      </c>
      <c r="E11" s="60">
        <v>14.69736842105263</v>
      </c>
    </row>
    <row r="12" spans="1:7" s="5" customFormat="1" ht="17.25" customHeight="1" x14ac:dyDescent="0.3">
      <c r="A12" s="10" t="s">
        <v>212</v>
      </c>
      <c r="B12" s="9" t="s">
        <v>788</v>
      </c>
      <c r="C12" s="216">
        <v>15.25</v>
      </c>
      <c r="D12" s="60">
        <v>11.052631578947368</v>
      </c>
      <c r="E12" s="60">
        <v>12.451754385964913</v>
      </c>
    </row>
    <row r="13" spans="1:7" s="5" customFormat="1" ht="18" x14ac:dyDescent="0.3">
      <c r="A13" s="10" t="s">
        <v>213</v>
      </c>
      <c r="B13" s="9" t="s">
        <v>785</v>
      </c>
      <c r="C13" s="216">
        <v>13.25</v>
      </c>
      <c r="D13" s="60">
        <v>8.1578947368421044</v>
      </c>
      <c r="E13" s="60">
        <v>9.8552631578947363</v>
      </c>
    </row>
    <row r="14" spans="1:7" s="5" customFormat="1" ht="18" x14ac:dyDescent="0.3">
      <c r="A14" s="10" t="s">
        <v>214</v>
      </c>
      <c r="B14" s="9" t="s">
        <v>781</v>
      </c>
      <c r="C14" s="60">
        <v>12</v>
      </c>
      <c r="D14" s="60">
        <v>7.9473684210526319</v>
      </c>
      <c r="E14" s="60">
        <v>9.2982456140350873</v>
      </c>
    </row>
    <row r="15" spans="1:7" s="5" customFormat="1" ht="17.25" customHeight="1" x14ac:dyDescent="0.3">
      <c r="A15" s="10" t="s">
        <v>215</v>
      </c>
      <c r="B15" s="9" t="s">
        <v>784</v>
      </c>
      <c r="C15" s="216">
        <v>9.5</v>
      </c>
      <c r="D15" s="60">
        <v>6.7368421052631575</v>
      </c>
      <c r="E15" s="60">
        <v>7.6578947368421053</v>
      </c>
    </row>
    <row r="16" spans="1:7" s="5" customFormat="1" ht="18" x14ac:dyDescent="0.3">
      <c r="A16" s="10" t="s">
        <v>216</v>
      </c>
      <c r="B16" s="9" t="s">
        <v>782</v>
      </c>
      <c r="C16" s="216">
        <v>7.5</v>
      </c>
      <c r="D16" s="60">
        <v>7.1578947368421053</v>
      </c>
      <c r="E16" s="60">
        <v>7.2719298245614041</v>
      </c>
    </row>
    <row r="17" spans="1:6" s="5" customFormat="1" ht="18" customHeight="1" x14ac:dyDescent="0.3">
      <c r="A17" s="10" t="s">
        <v>217</v>
      </c>
      <c r="B17" s="9" t="s">
        <v>787</v>
      </c>
      <c r="C17" s="216">
        <v>8.125</v>
      </c>
      <c r="D17" s="60">
        <v>3.8421052631578947</v>
      </c>
      <c r="E17" s="60">
        <v>5.2697368421052628</v>
      </c>
    </row>
    <row r="18" spans="1:6" s="5" customFormat="1" ht="18" x14ac:dyDescent="0.3">
      <c r="A18" s="10" t="s">
        <v>218</v>
      </c>
      <c r="B18" s="9" t="s">
        <v>786</v>
      </c>
      <c r="C18" s="216">
        <v>7</v>
      </c>
      <c r="D18" s="60">
        <v>3.1578947368421053</v>
      </c>
      <c r="E18" s="60">
        <v>4.4385964912280702</v>
      </c>
    </row>
    <row r="19" spans="1:6" s="5" customFormat="1" ht="15" customHeight="1" x14ac:dyDescent="0.3">
      <c r="A19" s="10" t="s">
        <v>219</v>
      </c>
      <c r="B19" s="9" t="s">
        <v>789</v>
      </c>
      <c r="C19" s="216">
        <v>3.25</v>
      </c>
      <c r="D19" s="60">
        <v>3.0526315789473686</v>
      </c>
      <c r="E19" s="60">
        <v>3.1184210526315788</v>
      </c>
    </row>
    <row r="20" spans="1:6" s="5" customFormat="1" ht="12.75" x14ac:dyDescent="0.2"/>
    <row r="21" spans="1:6" s="5" customFormat="1" x14ac:dyDescent="0.3">
      <c r="A21" s="2"/>
      <c r="B21" s="281" t="s">
        <v>392</v>
      </c>
      <c r="C21" s="281"/>
      <c r="D21" s="281"/>
      <c r="E21" s="281"/>
      <c r="F21"/>
    </row>
    <row r="22" spans="1:6" s="5" customFormat="1" ht="19.5" customHeight="1" x14ac:dyDescent="0.3">
      <c r="A22" s="2"/>
      <c r="B22" s="2"/>
      <c r="C22" s="2"/>
      <c r="D22" s="2"/>
      <c r="E22" s="2"/>
      <c r="F22"/>
    </row>
    <row r="23" spans="1:6" s="5" customFormat="1" x14ac:dyDescent="0.3">
      <c r="A23" s="2"/>
      <c r="B23" s="2"/>
      <c r="C23" s="47" t="s">
        <v>393</v>
      </c>
      <c r="D23" s="47" t="s">
        <v>394</v>
      </c>
      <c r="E23" s="47" t="s">
        <v>395</v>
      </c>
      <c r="F23"/>
    </row>
    <row r="24" spans="1:6" s="5" customFormat="1" x14ac:dyDescent="0.3">
      <c r="A24" s="2"/>
      <c r="B24" s="48" t="s">
        <v>396</v>
      </c>
      <c r="C24" s="49">
        <v>5</v>
      </c>
      <c r="D24" s="49">
        <v>4</v>
      </c>
      <c r="E24" s="49">
        <v>9</v>
      </c>
      <c r="F24"/>
    </row>
    <row r="25" spans="1:6" s="5" customFormat="1" x14ac:dyDescent="0.3">
      <c r="A25" s="2"/>
      <c r="B25" s="10" t="s">
        <v>397</v>
      </c>
      <c r="C25" s="49">
        <v>5</v>
      </c>
      <c r="D25" s="49">
        <v>4</v>
      </c>
      <c r="E25" s="49">
        <v>9</v>
      </c>
      <c r="F25"/>
    </row>
    <row r="26" spans="1:6" s="5" customFormat="1" x14ac:dyDescent="0.3">
      <c r="A26" s="2"/>
      <c r="B26" s="10" t="s">
        <v>398</v>
      </c>
      <c r="C26" s="49">
        <v>0</v>
      </c>
      <c r="D26" s="49">
        <v>0</v>
      </c>
      <c r="E26" s="49">
        <v>0</v>
      </c>
      <c r="F26"/>
    </row>
    <row r="27" spans="1:6" s="5" customFormat="1" ht="16.5" customHeight="1" x14ac:dyDescent="0.3">
      <c r="A27" s="2"/>
      <c r="B27" s="10" t="s">
        <v>399</v>
      </c>
      <c r="C27" s="49">
        <v>0</v>
      </c>
      <c r="D27" s="49">
        <v>2</v>
      </c>
      <c r="E27" s="49">
        <v>2</v>
      </c>
      <c r="F27"/>
    </row>
    <row r="28" spans="1:6" s="5" customFormat="1" x14ac:dyDescent="0.3">
      <c r="A28" s="2"/>
      <c r="B28" s="10" t="s">
        <v>400</v>
      </c>
      <c r="C28" s="49">
        <v>5</v>
      </c>
      <c r="D28" s="49">
        <v>2</v>
      </c>
      <c r="E28" s="49">
        <v>7</v>
      </c>
      <c r="F28"/>
    </row>
    <row r="29" spans="1:6" s="5" customFormat="1" x14ac:dyDescent="0.3">
      <c r="A29" s="2"/>
      <c r="B29" s="10" t="s">
        <v>401</v>
      </c>
      <c r="C29" s="50">
        <f>+C27/C24</f>
        <v>0</v>
      </c>
      <c r="D29" s="50">
        <f>+D27/D24</f>
        <v>0.5</v>
      </c>
      <c r="E29" s="50">
        <f>+E27/E24</f>
        <v>0.22222222222222221</v>
      </c>
      <c r="F29"/>
    </row>
    <row r="30" spans="1:6" s="5" customFormat="1" ht="15" x14ac:dyDescent="0.25">
      <c r="A30"/>
      <c r="B30"/>
      <c r="C30"/>
      <c r="D30"/>
      <c r="E30"/>
      <c r="F30"/>
    </row>
    <row r="31" spans="1:6" s="5" customFormat="1" x14ac:dyDescent="0.3">
      <c r="A31" s="2"/>
      <c r="B31" s="2"/>
      <c r="C31" s="2"/>
      <c r="D31" s="15"/>
      <c r="E31" s="34"/>
      <c r="F31" s="53"/>
    </row>
    <row r="32" spans="1:6" s="5" customFormat="1" x14ac:dyDescent="0.3">
      <c r="A32" s="2"/>
      <c r="B32" s="2"/>
      <c r="C32" s="2"/>
      <c r="D32" s="2"/>
      <c r="E32" s="2"/>
      <c r="F32"/>
    </row>
    <row r="33" spans="1:7" s="5" customFormat="1" x14ac:dyDescent="0.3">
      <c r="A33" s="2"/>
      <c r="B33" s="2"/>
      <c r="C33" s="15"/>
      <c r="D33" s="241"/>
      <c r="E33" s="53"/>
      <c r="F33" s="53"/>
    </row>
    <row r="34" spans="1:7" s="5" customFormat="1" x14ac:dyDescent="0.3">
      <c r="A34" s="2"/>
      <c r="B34" s="2"/>
      <c r="C34" s="2"/>
      <c r="D34" s="2"/>
      <c r="E34" s="2"/>
      <c r="F34"/>
    </row>
    <row r="35" spans="1:7" s="5" customFormat="1" x14ac:dyDescent="0.3">
      <c r="A35" s="285"/>
      <c r="B35" s="285"/>
      <c r="C35" s="15"/>
      <c r="D35" s="15"/>
      <c r="E35" s="15"/>
      <c r="F35"/>
    </row>
    <row r="36" spans="1:7" s="5" customFormat="1" x14ac:dyDescent="0.3">
      <c r="A36" s="15"/>
      <c r="B36" s="15"/>
      <c r="C36" s="2"/>
      <c r="D36" s="2"/>
      <c r="E36" s="15" t="s">
        <v>925</v>
      </c>
      <c r="F36" s="241"/>
      <c r="G36" s="53"/>
    </row>
    <row r="37" spans="1:7" s="5" customFormat="1" x14ac:dyDescent="0.3">
      <c r="A37" s="15"/>
      <c r="B37" s="15"/>
      <c r="C37" s="2"/>
      <c r="D37" s="2"/>
      <c r="E37" s="2"/>
      <c r="F37" s="2"/>
      <c r="G37" s="2"/>
    </row>
    <row r="38" spans="1:7" s="5" customFormat="1" ht="18.75" x14ac:dyDescent="0.3">
      <c r="A38" s="285" t="s">
        <v>921</v>
      </c>
      <c r="B38" s="285"/>
      <c r="E38" s="15"/>
      <c r="F38" s="244" t="s">
        <v>404</v>
      </c>
      <c r="G38" s="15"/>
    </row>
    <row r="39" spans="1:7" s="5" customFormat="1" ht="15" customHeight="1" x14ac:dyDescent="0.3">
      <c r="A39" s="15"/>
      <c r="B39" s="15"/>
      <c r="E39" s="15"/>
      <c r="F39" s="15"/>
      <c r="G39" s="15"/>
    </row>
    <row r="40" spans="1:7" s="5" customFormat="1" ht="18.75" customHeight="1" x14ac:dyDescent="0.3">
      <c r="A40" s="15"/>
      <c r="B40" s="15"/>
      <c r="E40" s="15"/>
      <c r="F40" s="15"/>
      <c r="G40" s="15"/>
    </row>
    <row r="41" spans="1:7" s="5" customFormat="1" ht="18.75" customHeight="1" x14ac:dyDescent="0.3">
      <c r="A41" s="285" t="s">
        <v>922</v>
      </c>
      <c r="B41" s="285"/>
      <c r="E41" s="15"/>
      <c r="F41" s="15" t="s">
        <v>8</v>
      </c>
      <c r="G41" s="15"/>
    </row>
    <row r="42" spans="1:7" s="5" customFormat="1" ht="18.75" customHeight="1" x14ac:dyDescent="0.2"/>
    <row r="43" spans="1:7" s="5" customFormat="1" ht="18.75" customHeight="1" x14ac:dyDescent="0.2"/>
    <row r="44" spans="1:7" s="5" customFormat="1" ht="18.75" customHeight="1" x14ac:dyDescent="0.2"/>
    <row r="45" spans="1:7" s="5" customFormat="1" ht="18.75" customHeight="1" x14ac:dyDescent="0.2"/>
    <row r="46" spans="1:7" s="5" customFormat="1" ht="18.75" customHeight="1" x14ac:dyDescent="0.2"/>
    <row r="47" spans="1:7" s="5" customFormat="1" ht="18.75" customHeight="1" x14ac:dyDescent="0.2"/>
    <row r="48" spans="1:7" s="5" customFormat="1" ht="18.75" customHeight="1" x14ac:dyDescent="0.2"/>
    <row r="49" s="5" customFormat="1" ht="18.75" customHeight="1" x14ac:dyDescent="0.2"/>
    <row r="50" s="5" customFormat="1" ht="18.75" customHeight="1" x14ac:dyDescent="0.2"/>
    <row r="51" s="5" customFormat="1" ht="18.75" customHeight="1" x14ac:dyDescent="0.2"/>
    <row r="52" s="5" customFormat="1" ht="18.75" customHeight="1" x14ac:dyDescent="0.2"/>
    <row r="53" s="5" customFormat="1" ht="18.75" customHeight="1" x14ac:dyDescent="0.2"/>
    <row r="54" s="5" customFormat="1" ht="18.75" customHeight="1" x14ac:dyDescent="0.2"/>
    <row r="55" s="5" customFormat="1" ht="18.75" customHeight="1" x14ac:dyDescent="0.2"/>
    <row r="56" s="5" customFormat="1" ht="18.75" customHeight="1" x14ac:dyDescent="0.2"/>
    <row r="57" s="5" customFormat="1" ht="18.75" customHeight="1" x14ac:dyDescent="0.2"/>
    <row r="58" s="5" customFormat="1" ht="18.75" customHeight="1" x14ac:dyDescent="0.2"/>
    <row r="59" s="5" customFormat="1" ht="18.75" customHeight="1" x14ac:dyDescent="0.2"/>
    <row r="60" s="5" customFormat="1" ht="18.75" customHeight="1" x14ac:dyDescent="0.2"/>
    <row r="61" s="5" customFormat="1" ht="18.75" customHeight="1" x14ac:dyDescent="0.2"/>
    <row r="62" s="5" customFormat="1" ht="18.75" customHeight="1" x14ac:dyDescent="0.2"/>
    <row r="63" s="5" customFormat="1" ht="18.75" customHeight="1" x14ac:dyDescent="0.2"/>
    <row r="64" s="5" customFormat="1" ht="18.75" customHeight="1" x14ac:dyDescent="0.2"/>
    <row r="65" s="5" customFormat="1" ht="18.75" customHeight="1" x14ac:dyDescent="0.2"/>
    <row r="66" s="5" customFormat="1" ht="18.75" customHeight="1" x14ac:dyDescent="0.2"/>
    <row r="67" s="5" customFormat="1" ht="18.75" customHeight="1" x14ac:dyDescent="0.2"/>
    <row r="68" s="5" customFormat="1" ht="18.75" customHeight="1" x14ac:dyDescent="0.2"/>
    <row r="69" s="5" customFormat="1" ht="18.75" customHeight="1" x14ac:dyDescent="0.2"/>
    <row r="70" s="5" customFormat="1" ht="18.75" customHeight="1" x14ac:dyDescent="0.2"/>
    <row r="71" s="5" customFormat="1" ht="15.75" customHeight="1" x14ac:dyDescent="0.2"/>
    <row r="72" s="5" customFormat="1" ht="12.75" x14ac:dyDescent="0.2"/>
    <row r="73" s="5" customFormat="1" ht="12.75" x14ac:dyDescent="0.2"/>
    <row r="74" s="5" customFormat="1" ht="12.75" x14ac:dyDescent="0.2"/>
    <row r="75" s="5" customFormat="1" ht="12.75" x14ac:dyDescent="0.2"/>
    <row r="76" s="5" customFormat="1" ht="12.75" x14ac:dyDescent="0.2"/>
    <row r="77" s="5" customFormat="1" ht="18" customHeight="1" x14ac:dyDescent="0.2"/>
    <row r="78" s="5" customFormat="1" ht="18" customHeight="1" x14ac:dyDescent="0.2"/>
    <row r="79" s="5" customFormat="1" ht="18" customHeight="1" x14ac:dyDescent="0.2"/>
    <row r="80" s="5" customFormat="1" ht="12.75" x14ac:dyDescent="0.2"/>
    <row r="81" spans="1:5" s="5" customFormat="1" x14ac:dyDescent="0.3">
      <c r="A81" s="18"/>
      <c r="B81" s="17"/>
      <c r="C81" s="68"/>
      <c r="D81" s="68"/>
      <c r="E81" s="69"/>
    </row>
    <row r="82" spans="1:5" s="5" customFormat="1" x14ac:dyDescent="0.3">
      <c r="A82" s="18"/>
      <c r="B82" s="17"/>
      <c r="C82" s="68"/>
      <c r="D82" s="68"/>
      <c r="E82" s="69"/>
    </row>
    <row r="83" spans="1:5" s="5" customFormat="1" x14ac:dyDescent="0.3">
      <c r="A83" s="18"/>
      <c r="B83" s="17"/>
      <c r="C83" s="68"/>
      <c r="D83" s="68"/>
      <c r="E83" s="69"/>
    </row>
    <row r="84" spans="1:5" s="5" customFormat="1" x14ac:dyDescent="0.3">
      <c r="A84" s="18"/>
      <c r="B84" s="17"/>
      <c r="C84" s="68"/>
      <c r="D84" s="68"/>
      <c r="E84" s="69"/>
    </row>
    <row r="85" spans="1:5" s="5" customFormat="1" x14ac:dyDescent="0.3">
      <c r="A85" s="15"/>
      <c r="B85" s="4"/>
      <c r="C85" s="2"/>
      <c r="D85" s="2"/>
      <c r="E85" s="2"/>
    </row>
    <row r="86" spans="1:5" s="8" customFormat="1" ht="12.75" x14ac:dyDescent="0.2"/>
    <row r="87" spans="1:5" s="5" customFormat="1" ht="12.75" x14ac:dyDescent="0.2"/>
    <row r="88" spans="1:5" s="5" customFormat="1" ht="12.75" x14ac:dyDescent="0.2"/>
    <row r="89" spans="1:5" s="5" customFormat="1" ht="12.75" x14ac:dyDescent="0.2"/>
    <row r="90" spans="1:5" s="5" customFormat="1" ht="12.75" x14ac:dyDescent="0.2"/>
    <row r="91" spans="1:5" s="8" customFormat="1" ht="12.75" x14ac:dyDescent="0.2"/>
  </sheetData>
  <sortState ref="B11:E19">
    <sortCondition descending="1" ref="E11:E19"/>
  </sortState>
  <mergeCells count="10">
    <mergeCell ref="A38:B38"/>
    <mergeCell ref="A41:B41"/>
    <mergeCell ref="C1:E1"/>
    <mergeCell ref="C2:E2"/>
    <mergeCell ref="B9:E9"/>
    <mergeCell ref="B5:G5"/>
    <mergeCell ref="B6:G6"/>
    <mergeCell ref="A7:F8"/>
    <mergeCell ref="B21:E21"/>
    <mergeCell ref="A35:B35"/>
  </mergeCells>
  <printOptions horizontalCentered="1"/>
  <pageMargins left="0.11811023622047245" right="0.11811023622047245" top="0.55118110236220474" bottom="0.55118110236220474" header="0.31496062992125984" footer="0.11811023622047245"/>
  <pageSetup paperSize="9" orientation="portrait" r:id="rId1"/>
  <headerFooter>
    <oddFooter>&amp;LGSP MOH-CA /12ème Année SS&amp;R&amp;P/&amp;N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G103"/>
  <sheetViews>
    <sheetView topLeftCell="A14" workbookViewId="0">
      <selection activeCell="B22" sqref="B22:F22"/>
    </sheetView>
  </sheetViews>
  <sheetFormatPr baseColWidth="10" defaultRowHeight="15" x14ac:dyDescent="0.25"/>
  <cols>
    <col min="1" max="1" width="5.7109375" customWidth="1"/>
    <col min="2" max="2" width="31" customWidth="1"/>
    <col min="4" max="4" width="12.85546875" customWidth="1"/>
    <col min="5" max="5" width="13.85546875" customWidth="1"/>
  </cols>
  <sheetData>
    <row r="1" spans="1:7" ht="20.25" x14ac:dyDescent="0.3">
      <c r="A1" s="74" t="s">
        <v>460</v>
      </c>
      <c r="B1" s="91"/>
      <c r="C1" s="313" t="s">
        <v>5</v>
      </c>
      <c r="D1" s="313"/>
      <c r="E1" s="313"/>
      <c r="F1" s="91"/>
      <c r="G1" s="91"/>
    </row>
    <row r="2" spans="1:7" ht="16.5" x14ac:dyDescent="0.3">
      <c r="A2" s="74" t="s">
        <v>2</v>
      </c>
      <c r="B2" s="91"/>
      <c r="C2" s="302" t="s">
        <v>6</v>
      </c>
      <c r="D2" s="302"/>
      <c r="E2" s="302"/>
      <c r="F2" s="91"/>
      <c r="G2" s="91"/>
    </row>
    <row r="3" spans="1:7" ht="16.5" x14ac:dyDescent="0.3">
      <c r="A3" s="74" t="s">
        <v>3</v>
      </c>
      <c r="B3" s="91"/>
      <c r="C3" s="91"/>
      <c r="D3" s="91"/>
      <c r="E3" s="91"/>
      <c r="F3" s="91"/>
      <c r="G3" s="91"/>
    </row>
    <row r="4" spans="1:7" ht="16.5" x14ac:dyDescent="0.3">
      <c r="A4" s="74" t="s">
        <v>4</v>
      </c>
      <c r="B4" s="91"/>
      <c r="C4" s="91"/>
      <c r="D4" s="120"/>
      <c r="E4" s="120"/>
      <c r="F4" s="91"/>
      <c r="G4" s="91"/>
    </row>
    <row r="5" spans="1:7" ht="16.5" x14ac:dyDescent="0.3">
      <c r="A5" s="91"/>
      <c r="B5" s="303" t="s">
        <v>457</v>
      </c>
      <c r="C5" s="303"/>
      <c r="D5" s="303"/>
      <c r="E5" s="303"/>
      <c r="F5" s="303"/>
      <c r="G5" s="303"/>
    </row>
    <row r="6" spans="1:7" ht="18" x14ac:dyDescent="0.3">
      <c r="A6" s="91"/>
      <c r="B6" s="303" t="s">
        <v>426</v>
      </c>
      <c r="C6" s="303"/>
      <c r="D6" s="303"/>
      <c r="E6" s="303"/>
      <c r="F6" s="303"/>
      <c r="G6" s="303"/>
    </row>
    <row r="7" spans="1:7" ht="16.5" x14ac:dyDescent="0.3">
      <c r="A7" s="304" t="s">
        <v>459</v>
      </c>
      <c r="B7" s="304"/>
      <c r="C7" s="304"/>
      <c r="D7" s="304"/>
      <c r="E7" s="304"/>
      <c r="F7" s="304"/>
      <c r="G7" s="91"/>
    </row>
    <row r="8" spans="1:7" ht="16.5" x14ac:dyDescent="0.3">
      <c r="A8" s="304"/>
      <c r="B8" s="304"/>
      <c r="C8" s="304"/>
      <c r="D8" s="304"/>
      <c r="E8" s="304"/>
      <c r="F8" s="304"/>
      <c r="G8" s="91"/>
    </row>
    <row r="9" spans="1:7" ht="16.5" x14ac:dyDescent="0.3">
      <c r="A9" s="91"/>
      <c r="B9" s="301"/>
      <c r="C9" s="301"/>
      <c r="D9" s="301"/>
      <c r="E9" s="301"/>
      <c r="F9" s="91"/>
      <c r="G9" s="91"/>
    </row>
    <row r="10" spans="1:7" ht="25.5" x14ac:dyDescent="0.25">
      <c r="A10" s="122" t="s">
        <v>106</v>
      </c>
      <c r="B10" s="81" t="s">
        <v>0</v>
      </c>
      <c r="C10" s="123" t="s">
        <v>419</v>
      </c>
      <c r="D10" s="123" t="s">
        <v>420</v>
      </c>
      <c r="E10" s="123" t="s">
        <v>445</v>
      </c>
      <c r="F10" s="79"/>
      <c r="G10" s="79"/>
    </row>
    <row r="11" spans="1:7" ht="18.75" x14ac:dyDescent="0.3">
      <c r="A11" s="87" t="s">
        <v>442</v>
      </c>
      <c r="B11" s="318" t="s">
        <v>1166</v>
      </c>
      <c r="C11" s="316"/>
      <c r="D11" s="315" t="s">
        <v>1169</v>
      </c>
      <c r="E11" s="315" t="s">
        <v>1169</v>
      </c>
      <c r="F11" s="320">
        <v>3</v>
      </c>
      <c r="G11" s="84"/>
    </row>
    <row r="12" spans="1:7" ht="18.75" x14ac:dyDescent="0.3">
      <c r="A12" s="87" t="s">
        <v>212</v>
      </c>
      <c r="B12" s="318" t="s">
        <v>1168</v>
      </c>
      <c r="C12" s="316"/>
      <c r="D12" s="316" t="s">
        <v>1171</v>
      </c>
      <c r="E12" s="316" t="s">
        <v>1171</v>
      </c>
      <c r="F12" s="320">
        <v>6</v>
      </c>
      <c r="G12" s="84"/>
    </row>
    <row r="13" spans="1:7" ht="18.75" x14ac:dyDescent="0.3">
      <c r="A13" s="87" t="s">
        <v>213</v>
      </c>
      <c r="B13" s="318" t="s">
        <v>1167</v>
      </c>
      <c r="C13" s="316"/>
      <c r="D13" s="315" t="s">
        <v>1170</v>
      </c>
      <c r="E13" s="315" t="s">
        <v>1170</v>
      </c>
      <c r="F13" s="321">
        <v>10</v>
      </c>
      <c r="G13" s="84"/>
    </row>
    <row r="14" spans="1:7" ht="36" x14ac:dyDescent="0.3">
      <c r="A14" s="87" t="s">
        <v>214</v>
      </c>
      <c r="B14" s="322" t="s">
        <v>783</v>
      </c>
      <c r="C14" s="315">
        <v>14.69736842105263</v>
      </c>
      <c r="D14" s="315">
        <v>14.111842105263158</v>
      </c>
      <c r="E14" s="317">
        <f>SUM(C14+D14)/2</f>
        <v>14.404605263157894</v>
      </c>
      <c r="F14" s="321">
        <v>1</v>
      </c>
      <c r="G14" s="84"/>
    </row>
    <row r="15" spans="1:7" ht="36" x14ac:dyDescent="0.3">
      <c r="A15" s="87" t="s">
        <v>215</v>
      </c>
      <c r="B15" s="322" t="s">
        <v>1172</v>
      </c>
      <c r="C15" s="315">
        <v>12.451754385964913</v>
      </c>
      <c r="D15" s="315">
        <v>11.642543859649123</v>
      </c>
      <c r="E15" s="317">
        <f>SUM(C15+D15)/2</f>
        <v>12.047149122807017</v>
      </c>
      <c r="F15" s="320">
        <v>2</v>
      </c>
      <c r="G15" s="84"/>
    </row>
    <row r="16" spans="1:7" ht="36" x14ac:dyDescent="0.3">
      <c r="A16" s="87" t="s">
        <v>216</v>
      </c>
      <c r="B16" s="322" t="s">
        <v>781</v>
      </c>
      <c r="C16" s="315">
        <v>9.2982456140350873</v>
      </c>
      <c r="D16" s="315">
        <v>9.7872807017543852</v>
      </c>
      <c r="E16" s="317">
        <f>SUM(C16+D16)/2</f>
        <v>9.5427631578947363</v>
      </c>
      <c r="F16" s="320">
        <v>4</v>
      </c>
      <c r="G16" s="84"/>
    </row>
    <row r="17" spans="1:7" ht="36" x14ac:dyDescent="0.3">
      <c r="A17" s="87" t="s">
        <v>217</v>
      </c>
      <c r="B17" s="322" t="s">
        <v>785</v>
      </c>
      <c r="C17" s="315">
        <v>9.8552631578947363</v>
      </c>
      <c r="D17" s="315">
        <v>8.8026315789473681</v>
      </c>
      <c r="E17" s="317">
        <f>SUM(C17+D17)/2</f>
        <v>9.3289473684210513</v>
      </c>
      <c r="F17" s="321">
        <v>5</v>
      </c>
      <c r="G17" s="84"/>
    </row>
    <row r="18" spans="1:7" ht="36" x14ac:dyDescent="0.3">
      <c r="A18" s="87" t="s">
        <v>218</v>
      </c>
      <c r="B18" s="322" t="s">
        <v>782</v>
      </c>
      <c r="C18" s="315">
        <v>7.2719298245614041</v>
      </c>
      <c r="D18" s="315">
        <v>7.1140350877192988</v>
      </c>
      <c r="E18" s="317">
        <f>SUM(C18+D18)/2</f>
        <v>7.192982456140351</v>
      </c>
      <c r="F18" s="321">
        <v>7</v>
      </c>
      <c r="G18" s="84"/>
    </row>
    <row r="19" spans="1:7" ht="36" x14ac:dyDescent="0.3">
      <c r="A19" s="87" t="s">
        <v>219</v>
      </c>
      <c r="B19" s="322" t="s">
        <v>787</v>
      </c>
      <c r="C19" s="315">
        <v>5.2697368421052628</v>
      </c>
      <c r="D19" s="315">
        <v>8.7565789473684212</v>
      </c>
      <c r="E19" s="317">
        <f>SUM(C19+D19)/2</f>
        <v>7.0131578947368425</v>
      </c>
      <c r="F19" s="321">
        <v>8</v>
      </c>
      <c r="G19" s="84"/>
    </row>
    <row r="20" spans="1:7" ht="18.75" x14ac:dyDescent="0.3">
      <c r="A20" s="87" t="s">
        <v>220</v>
      </c>
      <c r="B20" s="323" t="s">
        <v>1164</v>
      </c>
      <c r="C20" s="315">
        <v>7.6578947368421053</v>
      </c>
      <c r="D20" s="315">
        <v>3.138157894736842</v>
      </c>
      <c r="E20" s="317">
        <f>SUM(C20+D20)/2</f>
        <v>5.3980263157894735</v>
      </c>
      <c r="F20" s="321">
        <v>9</v>
      </c>
      <c r="G20" s="84"/>
    </row>
    <row r="21" spans="1:7" ht="36" x14ac:dyDescent="0.3">
      <c r="A21" s="87" t="s">
        <v>221</v>
      </c>
      <c r="B21" s="322" t="s">
        <v>786</v>
      </c>
      <c r="C21" s="315">
        <v>4.4385964912280702</v>
      </c>
      <c r="D21" s="315">
        <v>2.2061403508771931</v>
      </c>
      <c r="E21" s="317">
        <f>SUM(C21+D21)/2</f>
        <v>3.3223684210526319</v>
      </c>
      <c r="F21" s="321">
        <v>11</v>
      </c>
      <c r="G21" s="84"/>
    </row>
    <row r="22" spans="1:7" ht="36" x14ac:dyDescent="0.3">
      <c r="A22" s="87" t="s">
        <v>222</v>
      </c>
      <c r="B22" s="322" t="s">
        <v>789</v>
      </c>
      <c r="C22" s="315">
        <v>3.1184210526315788</v>
      </c>
      <c r="D22" s="315">
        <v>1.7192982456140351</v>
      </c>
      <c r="E22" s="317">
        <f>SUM(C22+D22)/2</f>
        <v>2.4188596491228069</v>
      </c>
      <c r="F22" s="320">
        <v>12</v>
      </c>
      <c r="G22" s="84"/>
    </row>
    <row r="23" spans="1:7" ht="18" x14ac:dyDescent="0.3">
      <c r="A23" s="87" t="s">
        <v>223</v>
      </c>
      <c r="B23" s="9"/>
      <c r="C23" s="89"/>
      <c r="D23" s="89"/>
      <c r="E23" s="136">
        <f t="shared" ref="E11:E74" si="0">+(D23*2+C23)/3</f>
        <v>0</v>
      </c>
      <c r="F23" s="84"/>
      <c r="G23" s="84"/>
    </row>
    <row r="24" spans="1:7" ht="18" x14ac:dyDescent="0.3">
      <c r="A24" s="87" t="s">
        <v>224</v>
      </c>
      <c r="B24" s="9"/>
      <c r="C24" s="89"/>
      <c r="D24" s="89"/>
      <c r="E24" s="136">
        <f t="shared" si="0"/>
        <v>0</v>
      </c>
      <c r="F24" s="84"/>
      <c r="G24" s="84"/>
    </row>
    <row r="25" spans="1:7" ht="18" x14ac:dyDescent="0.3">
      <c r="A25" s="87" t="s">
        <v>225</v>
      </c>
      <c r="B25" s="9"/>
      <c r="C25" s="89"/>
      <c r="D25" s="89"/>
      <c r="E25" s="136">
        <f t="shared" si="0"/>
        <v>0</v>
      </c>
      <c r="F25" s="84"/>
      <c r="G25" s="84"/>
    </row>
    <row r="26" spans="1:7" ht="18" x14ac:dyDescent="0.3">
      <c r="A26" s="87" t="s">
        <v>226</v>
      </c>
      <c r="B26" s="9"/>
      <c r="C26" s="89"/>
      <c r="D26" s="89"/>
      <c r="E26" s="136">
        <f t="shared" si="0"/>
        <v>0</v>
      </c>
      <c r="F26" s="84"/>
      <c r="G26" s="84"/>
    </row>
    <row r="27" spans="1:7" ht="18" x14ac:dyDescent="0.3">
      <c r="A27" s="87" t="s">
        <v>227</v>
      </c>
      <c r="B27" s="9"/>
      <c r="C27" s="89"/>
      <c r="D27" s="89"/>
      <c r="E27" s="136">
        <f t="shared" si="0"/>
        <v>0</v>
      </c>
      <c r="F27" s="84"/>
      <c r="G27" s="84"/>
    </row>
    <row r="28" spans="1:7" ht="18" x14ac:dyDescent="0.3">
      <c r="A28" s="87" t="s">
        <v>228</v>
      </c>
      <c r="B28" s="9"/>
      <c r="C28" s="89"/>
      <c r="D28" s="89"/>
      <c r="E28" s="136">
        <f t="shared" si="0"/>
        <v>0</v>
      </c>
      <c r="F28" s="84"/>
      <c r="G28" s="84"/>
    </row>
    <row r="29" spans="1:7" ht="18" x14ac:dyDescent="0.3">
      <c r="A29" s="87" t="s">
        <v>229</v>
      </c>
      <c r="B29" s="9"/>
      <c r="C29" s="89"/>
      <c r="D29" s="89"/>
      <c r="E29" s="136">
        <f t="shared" si="0"/>
        <v>0</v>
      </c>
      <c r="F29" s="84"/>
      <c r="G29" s="84"/>
    </row>
    <row r="30" spans="1:7" ht="18" x14ac:dyDescent="0.3">
      <c r="A30" s="87" t="s">
        <v>230</v>
      </c>
      <c r="B30" s="9"/>
      <c r="C30" s="89"/>
      <c r="D30" s="89"/>
      <c r="E30" s="136">
        <f t="shared" si="0"/>
        <v>0</v>
      </c>
      <c r="F30" s="84"/>
      <c r="G30" s="84"/>
    </row>
    <row r="31" spans="1:7" ht="18" x14ac:dyDescent="0.3">
      <c r="A31" s="87" t="s">
        <v>315</v>
      </c>
      <c r="B31" s="9"/>
      <c r="C31" s="89"/>
      <c r="D31" s="89"/>
      <c r="E31" s="136">
        <f t="shared" si="0"/>
        <v>0</v>
      </c>
      <c r="F31" s="84"/>
      <c r="G31" s="84"/>
    </row>
    <row r="32" spans="1:7" ht="18" x14ac:dyDescent="0.3">
      <c r="A32" s="87" t="s">
        <v>232</v>
      </c>
      <c r="B32" s="9"/>
      <c r="C32" s="89"/>
      <c r="D32" s="89"/>
      <c r="E32" s="136">
        <f t="shared" si="0"/>
        <v>0</v>
      </c>
      <c r="F32" s="84"/>
      <c r="G32" s="84"/>
    </row>
    <row r="33" spans="1:7" ht="18" x14ac:dyDescent="0.3">
      <c r="A33" s="87" t="s">
        <v>233</v>
      </c>
      <c r="B33" s="9"/>
      <c r="C33" s="89"/>
      <c r="D33" s="89"/>
      <c r="E33" s="136">
        <f t="shared" si="0"/>
        <v>0</v>
      </c>
      <c r="F33" s="84"/>
      <c r="G33" s="84"/>
    </row>
    <row r="34" spans="1:7" ht="18" x14ac:dyDescent="0.3">
      <c r="A34" s="87" t="s">
        <v>234</v>
      </c>
      <c r="B34" s="9"/>
      <c r="C34" s="89"/>
      <c r="D34" s="89"/>
      <c r="E34" s="136">
        <f t="shared" si="0"/>
        <v>0</v>
      </c>
      <c r="F34" s="84"/>
      <c r="G34" s="84"/>
    </row>
    <row r="35" spans="1:7" ht="18" x14ac:dyDescent="0.3">
      <c r="A35" s="87" t="s">
        <v>235</v>
      </c>
      <c r="B35" s="9"/>
      <c r="C35" s="89"/>
      <c r="D35" s="89"/>
      <c r="E35" s="136">
        <f t="shared" si="0"/>
        <v>0</v>
      </c>
      <c r="F35" s="84"/>
      <c r="G35" s="84"/>
    </row>
    <row r="36" spans="1:7" ht="18.75" customHeight="1" x14ac:dyDescent="0.3">
      <c r="A36" s="87" t="s">
        <v>236</v>
      </c>
      <c r="B36" s="9"/>
      <c r="C36" s="89"/>
      <c r="D36" s="89"/>
      <c r="E36" s="136">
        <f t="shared" si="0"/>
        <v>0</v>
      </c>
      <c r="F36" s="84"/>
      <c r="G36" s="84"/>
    </row>
    <row r="37" spans="1:7" ht="18" x14ac:dyDescent="0.3">
      <c r="A37" s="87" t="s">
        <v>237</v>
      </c>
      <c r="B37" s="9"/>
      <c r="C37" s="135"/>
      <c r="D37" s="89"/>
      <c r="E37" s="136">
        <f t="shared" si="0"/>
        <v>0</v>
      </c>
      <c r="F37" s="84"/>
      <c r="G37" s="84"/>
    </row>
    <row r="38" spans="1:7" ht="18" x14ac:dyDescent="0.3">
      <c r="A38" s="87" t="s">
        <v>238</v>
      </c>
      <c r="B38" s="9"/>
      <c r="C38" s="89"/>
      <c r="D38" s="89"/>
      <c r="E38" s="136">
        <f t="shared" si="0"/>
        <v>0</v>
      </c>
      <c r="F38" s="84"/>
      <c r="G38" s="84"/>
    </row>
    <row r="39" spans="1:7" ht="18" x14ac:dyDescent="0.3">
      <c r="A39" s="87" t="s">
        <v>239</v>
      </c>
      <c r="B39" s="9"/>
      <c r="C39" s="137"/>
      <c r="D39" s="138"/>
      <c r="E39" s="136">
        <f t="shared" si="0"/>
        <v>0</v>
      </c>
      <c r="F39" s="84"/>
      <c r="G39" s="84"/>
    </row>
    <row r="40" spans="1:7" ht="18" x14ac:dyDescent="0.3">
      <c r="A40" s="87" t="s">
        <v>240</v>
      </c>
      <c r="B40" s="9"/>
      <c r="C40" s="89"/>
      <c r="D40" s="89"/>
      <c r="E40" s="136">
        <f t="shared" si="0"/>
        <v>0</v>
      </c>
      <c r="F40" s="84"/>
      <c r="G40" s="84"/>
    </row>
    <row r="41" spans="1:7" ht="18" x14ac:dyDescent="0.3">
      <c r="A41" s="87" t="s">
        <v>314</v>
      </c>
      <c r="B41" s="9"/>
      <c r="C41" s="89"/>
      <c r="D41" s="89"/>
      <c r="E41" s="136">
        <f t="shared" si="0"/>
        <v>0</v>
      </c>
      <c r="F41" s="84"/>
      <c r="G41" s="84"/>
    </row>
    <row r="42" spans="1:7" ht="18" x14ac:dyDescent="0.3">
      <c r="A42" s="87" t="s">
        <v>242</v>
      </c>
      <c r="B42" s="9"/>
      <c r="C42" s="137"/>
      <c r="D42" s="137"/>
      <c r="E42" s="136">
        <f t="shared" si="0"/>
        <v>0</v>
      </c>
      <c r="F42" s="84"/>
      <c r="G42" s="84"/>
    </row>
    <row r="43" spans="1:7" ht="18" x14ac:dyDescent="0.3">
      <c r="A43" s="87" t="s">
        <v>243</v>
      </c>
      <c r="B43" s="9"/>
      <c r="C43" s="89"/>
      <c r="D43" s="89"/>
      <c r="E43" s="136">
        <f t="shared" si="0"/>
        <v>0</v>
      </c>
      <c r="F43" s="84"/>
      <c r="G43" s="84"/>
    </row>
    <row r="44" spans="1:7" ht="18" x14ac:dyDescent="0.3">
      <c r="A44" s="87" t="s">
        <v>244</v>
      </c>
      <c r="B44" s="9"/>
      <c r="C44" s="89"/>
      <c r="D44" s="89"/>
      <c r="E44" s="136">
        <f t="shared" si="0"/>
        <v>0</v>
      </c>
      <c r="F44" s="84"/>
      <c r="G44" s="84"/>
    </row>
    <row r="45" spans="1:7" ht="18" x14ac:dyDescent="0.3">
      <c r="A45" s="87" t="s">
        <v>245</v>
      </c>
      <c r="B45" s="9"/>
      <c r="C45" s="89"/>
      <c r="D45" s="89"/>
      <c r="E45" s="136">
        <f t="shared" si="0"/>
        <v>0</v>
      </c>
      <c r="F45" s="84"/>
      <c r="G45" s="84"/>
    </row>
    <row r="46" spans="1:7" ht="18" x14ac:dyDescent="0.3">
      <c r="A46" s="87" t="s">
        <v>246</v>
      </c>
      <c r="B46" s="9"/>
      <c r="C46" s="89"/>
      <c r="D46" s="89"/>
      <c r="E46" s="136">
        <f t="shared" si="0"/>
        <v>0</v>
      </c>
      <c r="F46" s="84"/>
      <c r="G46" s="84"/>
    </row>
    <row r="47" spans="1:7" ht="18" x14ac:dyDescent="0.3">
      <c r="A47" s="87" t="s">
        <v>247</v>
      </c>
      <c r="B47" s="9"/>
      <c r="C47" s="137"/>
      <c r="D47" s="137"/>
      <c r="E47" s="180">
        <f t="shared" si="0"/>
        <v>0</v>
      </c>
      <c r="F47" s="84"/>
      <c r="G47" s="84"/>
    </row>
    <row r="48" spans="1:7" ht="18" x14ac:dyDescent="0.3">
      <c r="A48" s="87" t="s">
        <v>248</v>
      </c>
      <c r="B48" s="9"/>
      <c r="C48" s="89"/>
      <c r="D48" s="89"/>
      <c r="E48" s="136">
        <f t="shared" si="0"/>
        <v>0</v>
      </c>
      <c r="F48" s="84"/>
      <c r="G48" s="84"/>
    </row>
    <row r="49" spans="1:7" ht="18" x14ac:dyDescent="0.3">
      <c r="A49" s="87" t="s">
        <v>249</v>
      </c>
      <c r="B49" s="9"/>
      <c r="C49" s="89"/>
      <c r="D49" s="89"/>
      <c r="E49" s="136">
        <f t="shared" si="0"/>
        <v>0</v>
      </c>
      <c r="F49" s="84"/>
      <c r="G49" s="84"/>
    </row>
    <row r="50" spans="1:7" ht="18" x14ac:dyDescent="0.3">
      <c r="A50" s="87" t="s">
        <v>250</v>
      </c>
      <c r="B50" s="9"/>
      <c r="C50" s="135"/>
      <c r="D50" s="89"/>
      <c r="E50" s="136">
        <f t="shared" si="0"/>
        <v>0</v>
      </c>
      <c r="F50" s="84"/>
      <c r="G50" s="84"/>
    </row>
    <row r="51" spans="1:7" ht="18" x14ac:dyDescent="0.3">
      <c r="A51" s="87" t="s">
        <v>313</v>
      </c>
      <c r="B51" s="9"/>
      <c r="C51" s="89"/>
      <c r="D51" s="89"/>
      <c r="E51" s="136">
        <f t="shared" si="0"/>
        <v>0</v>
      </c>
      <c r="F51" s="84"/>
      <c r="G51" s="84"/>
    </row>
    <row r="52" spans="1:7" ht="18" x14ac:dyDescent="0.3">
      <c r="A52" s="87" t="s">
        <v>252</v>
      </c>
      <c r="B52" s="9"/>
      <c r="C52" s="89"/>
      <c r="D52" s="89"/>
      <c r="E52" s="136">
        <f t="shared" si="0"/>
        <v>0</v>
      </c>
      <c r="F52" s="84"/>
      <c r="G52" s="84"/>
    </row>
    <row r="53" spans="1:7" ht="18" x14ac:dyDescent="0.3">
      <c r="A53" s="87" t="s">
        <v>253</v>
      </c>
      <c r="B53" s="9"/>
      <c r="C53" s="89"/>
      <c r="D53" s="89"/>
      <c r="E53" s="136">
        <f t="shared" si="0"/>
        <v>0</v>
      </c>
      <c r="F53" s="84"/>
      <c r="G53" s="84"/>
    </row>
    <row r="54" spans="1:7" ht="18" x14ac:dyDescent="0.3">
      <c r="A54" s="87" t="s">
        <v>254</v>
      </c>
      <c r="B54" s="9"/>
      <c r="C54" s="138"/>
      <c r="D54" s="138"/>
      <c r="E54" s="136">
        <f t="shared" si="0"/>
        <v>0</v>
      </c>
      <c r="F54" s="84"/>
      <c r="G54" s="84"/>
    </row>
    <row r="55" spans="1:7" ht="18" x14ac:dyDescent="0.3">
      <c r="A55" s="87" t="s">
        <v>255</v>
      </c>
      <c r="B55" s="9"/>
      <c r="C55" s="89"/>
      <c r="D55" s="89"/>
      <c r="E55" s="136">
        <f t="shared" si="0"/>
        <v>0</v>
      </c>
      <c r="F55" s="84"/>
      <c r="G55" s="84"/>
    </row>
    <row r="56" spans="1:7" ht="18" x14ac:dyDescent="0.3">
      <c r="A56" s="87" t="s">
        <v>256</v>
      </c>
      <c r="B56" s="9"/>
      <c r="C56" s="138"/>
      <c r="D56" s="138"/>
      <c r="E56" s="136">
        <f t="shared" si="0"/>
        <v>0</v>
      </c>
      <c r="F56" s="84"/>
      <c r="G56" s="84"/>
    </row>
    <row r="57" spans="1:7" ht="18" x14ac:dyDescent="0.3">
      <c r="A57" s="87" t="s">
        <v>257</v>
      </c>
      <c r="B57" s="9"/>
      <c r="C57" s="135"/>
      <c r="D57" s="89"/>
      <c r="E57" s="136">
        <f t="shared" si="0"/>
        <v>0</v>
      </c>
      <c r="F57" s="84"/>
      <c r="G57" s="84"/>
    </row>
    <row r="58" spans="1:7" ht="18" x14ac:dyDescent="0.3">
      <c r="A58" s="87" t="s">
        <v>258</v>
      </c>
      <c r="B58" s="9"/>
      <c r="C58" s="89"/>
      <c r="D58" s="89"/>
      <c r="E58" s="136">
        <f t="shared" si="0"/>
        <v>0</v>
      </c>
      <c r="F58" s="84"/>
      <c r="G58" s="84"/>
    </row>
    <row r="59" spans="1:7" ht="18" x14ac:dyDescent="0.3">
      <c r="A59" s="87" t="s">
        <v>259</v>
      </c>
      <c r="B59" s="9"/>
      <c r="C59" s="89"/>
      <c r="D59" s="89"/>
      <c r="E59" s="136">
        <f t="shared" si="0"/>
        <v>0</v>
      </c>
      <c r="F59" s="84"/>
      <c r="G59" s="84"/>
    </row>
    <row r="60" spans="1:7" ht="18" x14ac:dyDescent="0.3">
      <c r="A60" s="87" t="s">
        <v>260</v>
      </c>
      <c r="B60" s="9"/>
      <c r="C60" s="89"/>
      <c r="D60" s="89"/>
      <c r="E60" s="136">
        <f t="shared" si="0"/>
        <v>0</v>
      </c>
      <c r="F60" s="84"/>
      <c r="G60" s="84"/>
    </row>
    <row r="61" spans="1:7" ht="18" x14ac:dyDescent="0.3">
      <c r="A61" s="87" t="s">
        <v>312</v>
      </c>
      <c r="B61" s="9"/>
      <c r="C61" s="89"/>
      <c r="D61" s="89"/>
      <c r="E61" s="136">
        <f t="shared" si="0"/>
        <v>0</v>
      </c>
      <c r="F61" s="84"/>
      <c r="G61" s="84"/>
    </row>
    <row r="62" spans="1:7" ht="18" x14ac:dyDescent="0.3">
      <c r="A62" s="87" t="s">
        <v>262</v>
      </c>
      <c r="B62" s="9"/>
      <c r="C62" s="89"/>
      <c r="D62" s="89"/>
      <c r="E62" s="136">
        <f t="shared" si="0"/>
        <v>0</v>
      </c>
      <c r="F62" s="84"/>
      <c r="G62" s="84"/>
    </row>
    <row r="63" spans="1:7" ht="18" x14ac:dyDescent="0.3">
      <c r="A63" s="87" t="s">
        <v>263</v>
      </c>
      <c r="B63" s="9"/>
      <c r="C63" s="89"/>
      <c r="D63" s="89"/>
      <c r="E63" s="136">
        <f t="shared" si="0"/>
        <v>0</v>
      </c>
      <c r="F63" s="84"/>
      <c r="G63" s="84"/>
    </row>
    <row r="64" spans="1:7" ht="18" x14ac:dyDescent="0.3">
      <c r="A64" s="87" t="s">
        <v>264</v>
      </c>
      <c r="B64" s="9"/>
      <c r="C64" s="89"/>
      <c r="D64" s="89"/>
      <c r="E64" s="136">
        <f t="shared" si="0"/>
        <v>0</v>
      </c>
      <c r="F64" s="84"/>
      <c r="G64" s="84"/>
    </row>
    <row r="65" spans="1:7" ht="18" x14ac:dyDescent="0.3">
      <c r="A65" s="87" t="s">
        <v>265</v>
      </c>
      <c r="B65" s="82"/>
      <c r="C65" s="89"/>
      <c r="D65" s="89"/>
      <c r="E65" s="136">
        <f t="shared" si="0"/>
        <v>0</v>
      </c>
      <c r="F65" s="84"/>
      <c r="G65" s="84"/>
    </row>
    <row r="66" spans="1:7" ht="18" x14ac:dyDescent="0.3">
      <c r="A66" s="87" t="s">
        <v>266</v>
      </c>
      <c r="B66" s="82"/>
      <c r="C66" s="89"/>
      <c r="D66" s="89"/>
      <c r="E66" s="136">
        <f t="shared" si="0"/>
        <v>0</v>
      </c>
      <c r="F66" s="84"/>
      <c r="G66" s="84"/>
    </row>
    <row r="67" spans="1:7" ht="18" x14ac:dyDescent="0.3">
      <c r="A67" s="87" t="s">
        <v>267</v>
      </c>
      <c r="B67" s="82"/>
      <c r="C67" s="89"/>
      <c r="D67" s="89"/>
      <c r="E67" s="136">
        <f t="shared" si="0"/>
        <v>0</v>
      </c>
      <c r="F67" s="84"/>
      <c r="G67" s="84"/>
    </row>
    <row r="68" spans="1:7" ht="18" x14ac:dyDescent="0.3">
      <c r="A68" s="87" t="s">
        <v>268</v>
      </c>
      <c r="B68" s="82"/>
      <c r="C68" s="89"/>
      <c r="D68" s="89"/>
      <c r="E68" s="136">
        <f t="shared" si="0"/>
        <v>0</v>
      </c>
      <c r="F68" s="84"/>
      <c r="G68" s="84"/>
    </row>
    <row r="69" spans="1:7" ht="18" x14ac:dyDescent="0.3">
      <c r="A69" s="87" t="s">
        <v>269</v>
      </c>
      <c r="B69" s="82"/>
      <c r="C69" s="89"/>
      <c r="D69" s="89"/>
      <c r="E69" s="136">
        <f t="shared" si="0"/>
        <v>0</v>
      </c>
      <c r="F69" s="84"/>
      <c r="G69" s="84"/>
    </row>
    <row r="70" spans="1:7" ht="18" x14ac:dyDescent="0.3">
      <c r="A70" s="87" t="s">
        <v>270</v>
      </c>
      <c r="B70" s="82"/>
      <c r="C70" s="89"/>
      <c r="D70" s="89"/>
      <c r="E70" s="136">
        <f t="shared" si="0"/>
        <v>0</v>
      </c>
      <c r="F70" s="84"/>
      <c r="G70" s="84"/>
    </row>
    <row r="71" spans="1:7" ht="18" x14ac:dyDescent="0.3">
      <c r="A71" s="87" t="s">
        <v>389</v>
      </c>
      <c r="B71" s="82"/>
      <c r="C71" s="89"/>
      <c r="D71" s="89"/>
      <c r="E71" s="136">
        <f t="shared" si="0"/>
        <v>0</v>
      </c>
      <c r="F71" s="84"/>
      <c r="G71" s="84"/>
    </row>
    <row r="72" spans="1:7" ht="18" x14ac:dyDescent="0.3">
      <c r="A72" s="87" t="s">
        <v>272</v>
      </c>
      <c r="B72" s="82"/>
      <c r="C72" s="89"/>
      <c r="D72" s="89"/>
      <c r="E72" s="136">
        <f t="shared" si="0"/>
        <v>0</v>
      </c>
      <c r="F72" s="84"/>
      <c r="G72" s="84"/>
    </row>
    <row r="73" spans="1:7" ht="18" x14ac:dyDescent="0.3">
      <c r="A73" s="87" t="s">
        <v>273</v>
      </c>
      <c r="B73" s="82"/>
      <c r="C73" s="138"/>
      <c r="D73" s="138"/>
      <c r="E73" s="136">
        <f t="shared" si="0"/>
        <v>0</v>
      </c>
      <c r="F73" s="84"/>
      <c r="G73" s="84"/>
    </row>
    <row r="74" spans="1:7" ht="18" x14ac:dyDescent="0.3">
      <c r="A74" s="87" t="s">
        <v>274</v>
      </c>
      <c r="B74" s="82"/>
      <c r="C74" s="89"/>
      <c r="D74" s="89"/>
      <c r="E74" s="136">
        <f t="shared" si="0"/>
        <v>0</v>
      </c>
      <c r="F74" s="84"/>
      <c r="G74" s="84"/>
    </row>
    <row r="75" spans="1:7" ht="18" x14ac:dyDescent="0.3">
      <c r="A75" s="87" t="s">
        <v>275</v>
      </c>
      <c r="B75" s="82"/>
      <c r="C75" s="89"/>
      <c r="D75" s="89"/>
      <c r="E75" s="136">
        <f t="shared" ref="E75:E80" si="1">+(D75*2+C75)/3</f>
        <v>0</v>
      </c>
      <c r="F75" s="84"/>
      <c r="G75" s="84"/>
    </row>
    <row r="76" spans="1:7" ht="18" x14ac:dyDescent="0.3">
      <c r="A76" s="87" t="s">
        <v>276</v>
      </c>
      <c r="B76" s="82"/>
      <c r="C76" s="89"/>
      <c r="D76" s="89"/>
      <c r="E76" s="136">
        <f t="shared" si="1"/>
        <v>0</v>
      </c>
      <c r="F76" s="84"/>
      <c r="G76" s="84"/>
    </row>
    <row r="77" spans="1:7" ht="18" x14ac:dyDescent="0.3">
      <c r="A77" s="87" t="s">
        <v>277</v>
      </c>
      <c r="B77" s="82"/>
      <c r="C77" s="89"/>
      <c r="D77" s="89"/>
      <c r="E77" s="136">
        <f t="shared" si="1"/>
        <v>0</v>
      </c>
      <c r="F77" s="84"/>
      <c r="G77" s="84"/>
    </row>
    <row r="78" spans="1:7" ht="18" x14ac:dyDescent="0.3">
      <c r="A78" s="87" t="s">
        <v>278</v>
      </c>
      <c r="B78" s="82"/>
      <c r="C78" s="89"/>
      <c r="D78" s="89"/>
      <c r="E78" s="136">
        <f t="shared" si="1"/>
        <v>0</v>
      </c>
      <c r="F78" s="84"/>
      <c r="G78" s="84"/>
    </row>
    <row r="79" spans="1:7" ht="18" x14ac:dyDescent="0.3">
      <c r="A79" s="87" t="s">
        <v>279</v>
      </c>
      <c r="B79" s="82"/>
      <c r="C79" s="89"/>
      <c r="D79" s="89"/>
      <c r="E79" s="136">
        <f t="shared" si="1"/>
        <v>0</v>
      </c>
      <c r="F79" s="84"/>
      <c r="G79" s="84"/>
    </row>
    <row r="80" spans="1:7" ht="18" x14ac:dyDescent="0.3">
      <c r="A80" s="87" t="s">
        <v>280</v>
      </c>
      <c r="B80" s="82"/>
      <c r="C80" s="89"/>
      <c r="D80" s="89"/>
      <c r="E80" s="136">
        <f t="shared" si="1"/>
        <v>0</v>
      </c>
      <c r="F80" s="84"/>
      <c r="G80" s="84"/>
    </row>
    <row r="81" spans="1:7" ht="16.5" x14ac:dyDescent="0.3">
      <c r="A81" s="140"/>
      <c r="B81" s="121"/>
      <c r="C81" s="181"/>
      <c r="D81" s="181"/>
      <c r="E81" s="182"/>
      <c r="F81" s="84"/>
      <c r="G81" s="84"/>
    </row>
    <row r="82" spans="1:7" ht="16.5" x14ac:dyDescent="0.3">
      <c r="A82" s="140"/>
      <c r="B82" s="121"/>
      <c r="C82" s="181"/>
      <c r="D82" s="181"/>
      <c r="E82" s="182"/>
      <c r="F82" s="84"/>
      <c r="G82" s="84"/>
    </row>
    <row r="83" spans="1:7" ht="16.5" x14ac:dyDescent="0.3">
      <c r="A83" s="140"/>
      <c r="B83" s="121"/>
      <c r="C83" s="181"/>
      <c r="D83" s="181"/>
      <c r="E83" s="182"/>
      <c r="F83" s="84"/>
      <c r="G83" s="84"/>
    </row>
    <row r="84" spans="1:7" ht="16.5" x14ac:dyDescent="0.3">
      <c r="A84" s="140"/>
      <c r="B84" s="121"/>
      <c r="C84" s="181"/>
      <c r="D84" s="181"/>
      <c r="E84" s="182"/>
      <c r="F84" s="84"/>
      <c r="G84" s="84"/>
    </row>
    <row r="85" spans="1:7" ht="16.5" x14ac:dyDescent="0.3">
      <c r="A85" s="77"/>
      <c r="B85" s="85"/>
      <c r="C85" s="91"/>
      <c r="D85" s="91"/>
      <c r="E85" s="91"/>
      <c r="F85" s="84"/>
      <c r="G85" s="84"/>
    </row>
    <row r="86" spans="1:7" ht="16.5" x14ac:dyDescent="0.3">
      <c r="A86" s="91"/>
      <c r="B86" s="291" t="s">
        <v>392</v>
      </c>
      <c r="C86" s="291"/>
      <c r="D86" s="291"/>
      <c r="E86" s="291"/>
      <c r="F86" s="86"/>
      <c r="G86" s="79"/>
    </row>
    <row r="87" spans="1:7" ht="16.5" x14ac:dyDescent="0.3">
      <c r="A87" s="91"/>
      <c r="B87" s="91"/>
      <c r="C87" s="91"/>
      <c r="D87" s="91"/>
      <c r="E87" s="91"/>
      <c r="F87" s="86"/>
      <c r="G87" s="84"/>
    </row>
    <row r="88" spans="1:7" ht="16.5" x14ac:dyDescent="0.3">
      <c r="A88" s="91"/>
      <c r="B88" s="91"/>
      <c r="C88" s="87" t="s">
        <v>393</v>
      </c>
      <c r="D88" s="87" t="s">
        <v>394</v>
      </c>
      <c r="E88" s="87" t="s">
        <v>395</v>
      </c>
      <c r="F88" s="86"/>
      <c r="G88" s="84"/>
    </row>
    <row r="89" spans="1:7" ht="16.5" x14ac:dyDescent="0.3">
      <c r="A89" s="91"/>
      <c r="B89" s="88" t="s">
        <v>396</v>
      </c>
      <c r="C89" s="89">
        <v>35</v>
      </c>
      <c r="D89" s="89">
        <v>35</v>
      </c>
      <c r="E89" s="89">
        <f>SUM(C89:D89)</f>
        <v>70</v>
      </c>
      <c r="F89" s="86"/>
      <c r="G89" s="84"/>
    </row>
    <row r="90" spans="1:7" ht="16.5" x14ac:dyDescent="0.3">
      <c r="A90" s="91"/>
      <c r="B90" s="87" t="s">
        <v>397</v>
      </c>
      <c r="C90" s="89">
        <v>30</v>
      </c>
      <c r="D90" s="89">
        <v>31</v>
      </c>
      <c r="E90" s="89">
        <f>SUM(C90:D90)</f>
        <v>61</v>
      </c>
      <c r="F90" s="86"/>
      <c r="G90" s="84"/>
    </row>
    <row r="91" spans="1:7" ht="16.5" x14ac:dyDescent="0.3">
      <c r="A91" s="91"/>
      <c r="B91" s="87" t="s">
        <v>398</v>
      </c>
      <c r="C91" s="89">
        <v>5</v>
      </c>
      <c r="D91" s="89">
        <v>4</v>
      </c>
      <c r="E91" s="89">
        <f>SUM(C91:D91)</f>
        <v>9</v>
      </c>
      <c r="F91" s="86"/>
      <c r="G91" s="79"/>
    </row>
    <row r="92" spans="1:7" ht="16.5" x14ac:dyDescent="0.3">
      <c r="A92" s="91"/>
      <c r="B92" s="87" t="s">
        <v>399</v>
      </c>
      <c r="C92" s="89">
        <v>14</v>
      </c>
      <c r="D92" s="89">
        <v>9</v>
      </c>
      <c r="E92" s="89">
        <f>SUM(C92:D92)</f>
        <v>23</v>
      </c>
      <c r="F92" s="86"/>
      <c r="G92" s="91"/>
    </row>
    <row r="93" spans="1:7" ht="16.5" x14ac:dyDescent="0.3">
      <c r="A93" s="91"/>
      <c r="B93" s="87" t="s">
        <v>400</v>
      </c>
      <c r="C93" s="89">
        <v>21</v>
      </c>
      <c r="D93" s="89">
        <v>26</v>
      </c>
      <c r="E93" s="89">
        <f>SUM(C93:D93)</f>
        <v>47</v>
      </c>
      <c r="F93" s="86"/>
      <c r="G93" s="91"/>
    </row>
    <row r="94" spans="1:7" ht="16.5" x14ac:dyDescent="0.3">
      <c r="A94" s="91"/>
      <c r="B94" s="87" t="s">
        <v>401</v>
      </c>
      <c r="C94" s="90">
        <f>+C92/C89</f>
        <v>0.4</v>
      </c>
      <c r="D94" s="90">
        <f>+D92/D89</f>
        <v>0.25714285714285712</v>
      </c>
      <c r="E94" s="90">
        <f>+E92/E89</f>
        <v>0.32857142857142857</v>
      </c>
      <c r="F94" s="86"/>
      <c r="G94" s="91"/>
    </row>
    <row r="95" spans="1:7" ht="16.5" x14ac:dyDescent="0.3">
      <c r="A95" s="86"/>
      <c r="B95" s="86"/>
      <c r="C95" s="86"/>
      <c r="D95" s="86"/>
      <c r="E95" s="86"/>
      <c r="F95" s="86"/>
      <c r="G95" s="91"/>
    </row>
    <row r="96" spans="1:7" ht="16.5" x14ac:dyDescent="0.3">
      <c r="A96" s="91"/>
      <c r="B96" s="91"/>
      <c r="C96" s="91"/>
      <c r="D96" s="77" t="s">
        <v>418</v>
      </c>
      <c r="E96" s="77"/>
      <c r="F96" s="143"/>
      <c r="G96" s="91"/>
    </row>
    <row r="97" spans="1:7" ht="16.5" x14ac:dyDescent="0.3">
      <c r="A97" s="91"/>
      <c r="B97" s="91"/>
      <c r="C97" s="91"/>
      <c r="D97" s="91"/>
      <c r="E97" s="91"/>
      <c r="F97" s="86"/>
      <c r="G97" s="91"/>
    </row>
    <row r="98" spans="1:7" ht="16.5" x14ac:dyDescent="0.3">
      <c r="A98" s="303" t="s">
        <v>403</v>
      </c>
      <c r="B98" s="303"/>
      <c r="C98" s="77"/>
      <c r="D98" s="77"/>
      <c r="E98" s="77" t="s">
        <v>404</v>
      </c>
      <c r="F98" s="143"/>
      <c r="G98" s="91"/>
    </row>
    <row r="99" spans="1:7" ht="16.5" x14ac:dyDescent="0.3">
      <c r="A99" s="91"/>
      <c r="B99" s="91"/>
      <c r="C99" s="91"/>
      <c r="D99" s="91"/>
      <c r="E99" s="91"/>
      <c r="F99" s="86"/>
      <c r="G99" s="91"/>
    </row>
    <row r="100" spans="1:7" ht="16.5" x14ac:dyDescent="0.3">
      <c r="A100" s="91"/>
      <c r="B100" s="91"/>
      <c r="C100" s="91"/>
      <c r="D100" s="91"/>
      <c r="E100" s="91"/>
      <c r="F100" s="86"/>
      <c r="G100" s="91"/>
    </row>
    <row r="101" spans="1:7" ht="16.5" x14ac:dyDescent="0.3">
      <c r="A101" s="91"/>
      <c r="B101" s="91"/>
      <c r="C101" s="91"/>
      <c r="D101" s="91"/>
      <c r="E101" s="91"/>
      <c r="F101" s="86"/>
      <c r="G101" s="91"/>
    </row>
    <row r="102" spans="1:7" ht="16.5" x14ac:dyDescent="0.3">
      <c r="A102" s="303" t="s">
        <v>424</v>
      </c>
      <c r="B102" s="303"/>
      <c r="C102" s="77"/>
      <c r="D102" s="77"/>
      <c r="E102" s="77" t="s">
        <v>8</v>
      </c>
      <c r="F102" s="143"/>
      <c r="G102" s="91"/>
    </row>
    <row r="103" spans="1:7" ht="16.5" x14ac:dyDescent="0.3">
      <c r="A103" s="91"/>
      <c r="B103" s="85"/>
      <c r="C103" s="91"/>
      <c r="D103" s="91"/>
      <c r="E103" s="91"/>
      <c r="F103" s="91"/>
      <c r="G103" s="91"/>
    </row>
  </sheetData>
  <mergeCells count="9">
    <mergeCell ref="B86:E86"/>
    <mergeCell ref="A98:B98"/>
    <mergeCell ref="A102:B102"/>
    <mergeCell ref="C1:E1"/>
    <mergeCell ref="C2:E2"/>
    <mergeCell ref="B5:G5"/>
    <mergeCell ref="B6:G6"/>
    <mergeCell ref="A7:F8"/>
    <mergeCell ref="B9:E9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G103"/>
  <sheetViews>
    <sheetView tabSelected="1" workbookViewId="0">
      <selection activeCell="C4" sqref="C4"/>
    </sheetView>
  </sheetViews>
  <sheetFormatPr baseColWidth="10" defaultRowHeight="15" x14ac:dyDescent="0.25"/>
  <cols>
    <col min="1" max="1" width="7.140625" customWidth="1"/>
    <col min="2" max="2" width="36.28515625" customWidth="1"/>
    <col min="3" max="3" width="13.140625" customWidth="1"/>
    <col min="4" max="4" width="14" customWidth="1"/>
    <col min="5" max="5" width="11.7109375" customWidth="1"/>
  </cols>
  <sheetData>
    <row r="1" spans="1:7" ht="20.25" x14ac:dyDescent="0.3">
      <c r="A1" s="1" t="s">
        <v>929</v>
      </c>
      <c r="B1" s="6"/>
      <c r="C1" s="31" t="s">
        <v>5</v>
      </c>
      <c r="D1" s="31"/>
      <c r="E1" s="31"/>
      <c r="F1" s="2"/>
      <c r="G1" s="2"/>
    </row>
    <row r="2" spans="1:7" ht="16.5" x14ac:dyDescent="0.3">
      <c r="A2" s="1" t="s">
        <v>930</v>
      </c>
      <c r="B2" s="6"/>
      <c r="C2" s="276" t="s">
        <v>6</v>
      </c>
      <c r="D2" s="276"/>
      <c r="E2" s="276"/>
      <c r="F2" s="2"/>
      <c r="G2" s="2"/>
    </row>
    <row r="3" spans="1:7" ht="16.5" x14ac:dyDescent="0.3">
      <c r="A3" s="1" t="s">
        <v>931</v>
      </c>
      <c r="B3" s="6"/>
      <c r="C3" s="2"/>
      <c r="D3" s="2"/>
      <c r="E3" s="2"/>
      <c r="F3" s="2"/>
      <c r="G3" s="2"/>
    </row>
    <row r="4" spans="1:7" ht="16.5" x14ac:dyDescent="0.3">
      <c r="A4" s="1" t="s">
        <v>932</v>
      </c>
      <c r="B4" s="6"/>
      <c r="C4" s="2"/>
      <c r="D4" s="3"/>
      <c r="E4" s="3"/>
      <c r="F4" s="2"/>
      <c r="G4" s="2"/>
    </row>
    <row r="5" spans="1:7" ht="18.75" x14ac:dyDescent="0.3">
      <c r="A5" s="2"/>
      <c r="B5" s="283" t="s">
        <v>1047</v>
      </c>
      <c r="C5" s="283"/>
      <c r="D5" s="283"/>
      <c r="E5" s="283"/>
      <c r="F5" s="283"/>
      <c r="G5" s="283"/>
    </row>
    <row r="6" spans="1:7" ht="21" x14ac:dyDescent="0.3">
      <c r="A6" s="2"/>
      <c r="B6" s="4"/>
      <c r="C6" s="283" t="s">
        <v>1165</v>
      </c>
      <c r="D6" s="283"/>
      <c r="E6" s="283"/>
      <c r="F6" s="283"/>
      <c r="G6" s="283"/>
    </row>
    <row r="7" spans="1:7" ht="15" customHeight="1" x14ac:dyDescent="0.25">
      <c r="A7" s="381" t="s">
        <v>1046</v>
      </c>
      <c r="B7" s="381"/>
      <c r="C7" s="381"/>
      <c r="D7" s="381"/>
      <c r="E7" s="381"/>
      <c r="F7" s="381"/>
      <c r="G7" s="381"/>
    </row>
    <row r="8" spans="1:7" ht="15" customHeight="1" x14ac:dyDescent="0.25">
      <c r="A8" s="381"/>
      <c r="B8" s="381"/>
      <c r="C8" s="381"/>
      <c r="D8" s="381"/>
      <c r="E8" s="381"/>
      <c r="F8" s="381"/>
      <c r="G8" s="381"/>
    </row>
    <row r="9" spans="1:7" ht="18.75" x14ac:dyDescent="0.3">
      <c r="A9" s="392"/>
      <c r="B9" s="326"/>
      <c r="C9" s="326"/>
      <c r="D9" s="326"/>
      <c r="E9" s="326"/>
      <c r="F9" s="392"/>
      <c r="G9" s="393"/>
    </row>
    <row r="10" spans="1:7" ht="40.5" customHeight="1" x14ac:dyDescent="0.3">
      <c r="A10" s="328" t="s">
        <v>106</v>
      </c>
      <c r="B10" s="329" t="s">
        <v>0</v>
      </c>
      <c r="C10" s="329" t="s">
        <v>210</v>
      </c>
      <c r="D10" s="329" t="s">
        <v>445</v>
      </c>
      <c r="E10" s="329" t="s">
        <v>446</v>
      </c>
      <c r="F10" s="383"/>
      <c r="G10" s="393"/>
    </row>
    <row r="11" spans="1:7" ht="18.75" x14ac:dyDescent="0.3">
      <c r="A11" s="273">
        <v>1</v>
      </c>
      <c r="B11" s="328" t="s">
        <v>1238</v>
      </c>
      <c r="C11" s="315">
        <v>14.69736842105263</v>
      </c>
      <c r="D11" s="315">
        <v>14.111842105263158</v>
      </c>
      <c r="E11" s="317">
        <f>SUM(C11+D11)/2</f>
        <v>14.404605263157894</v>
      </c>
      <c r="F11" s="392"/>
      <c r="G11" s="393"/>
    </row>
    <row r="12" spans="1:7" ht="18.75" x14ac:dyDescent="0.3">
      <c r="A12" s="273">
        <v>2</v>
      </c>
      <c r="B12" s="328" t="s">
        <v>1239</v>
      </c>
      <c r="C12" s="315">
        <v>12.451754385964913</v>
      </c>
      <c r="D12" s="315">
        <v>11.642543859649123</v>
      </c>
      <c r="E12" s="317">
        <f>SUM(C12+D12)/2</f>
        <v>12.047149122807017</v>
      </c>
      <c r="F12" s="392"/>
      <c r="G12" s="393"/>
    </row>
    <row r="13" spans="1:7" ht="21.75" customHeight="1" x14ac:dyDescent="0.3">
      <c r="A13" s="273">
        <v>3</v>
      </c>
      <c r="B13" s="273" t="s">
        <v>1166</v>
      </c>
      <c r="C13" s="316"/>
      <c r="D13" s="315" t="s">
        <v>1169</v>
      </c>
      <c r="E13" s="315" t="s">
        <v>1169</v>
      </c>
      <c r="F13" s="392"/>
      <c r="G13" s="393"/>
    </row>
    <row r="14" spans="1:7" ht="18.75" x14ac:dyDescent="0.3">
      <c r="A14" s="273">
        <v>4</v>
      </c>
      <c r="B14" s="328" t="s">
        <v>1240</v>
      </c>
      <c r="C14" s="315">
        <v>9.2982456140350873</v>
      </c>
      <c r="D14" s="315">
        <v>9.7872807017543852</v>
      </c>
      <c r="E14" s="317">
        <f>SUM(C14+D14)/2</f>
        <v>9.5427631578947363</v>
      </c>
      <c r="F14" s="392"/>
      <c r="G14" s="393"/>
    </row>
    <row r="15" spans="1:7" ht="23.25" customHeight="1" x14ac:dyDescent="0.3">
      <c r="A15" s="273">
        <v>5</v>
      </c>
      <c r="B15" s="328" t="s">
        <v>1174</v>
      </c>
      <c r="C15" s="315">
        <v>9.8552631578947363</v>
      </c>
      <c r="D15" s="315">
        <v>8.8026315789473681</v>
      </c>
      <c r="E15" s="317">
        <f>SUM(C15+D15)/2</f>
        <v>9.3289473684210513</v>
      </c>
      <c r="F15" s="392"/>
      <c r="G15" s="393"/>
    </row>
    <row r="16" spans="1:7" ht="18.75" x14ac:dyDescent="0.3">
      <c r="A16" s="273">
        <v>6</v>
      </c>
      <c r="B16" s="273" t="s">
        <v>1168</v>
      </c>
      <c r="C16" s="316"/>
      <c r="D16" s="316" t="s">
        <v>1171</v>
      </c>
      <c r="E16" s="316" t="s">
        <v>1171</v>
      </c>
      <c r="F16" s="392"/>
      <c r="G16" s="393"/>
    </row>
    <row r="17" spans="1:7" ht="18.75" x14ac:dyDescent="0.3">
      <c r="A17" s="273">
        <v>7</v>
      </c>
      <c r="B17" s="328" t="s">
        <v>1236</v>
      </c>
      <c r="C17" s="315">
        <v>7.2719298245614041</v>
      </c>
      <c r="D17" s="315">
        <v>7.1140350877192988</v>
      </c>
      <c r="E17" s="317">
        <f>SUM(C17+D17)/2</f>
        <v>7.192982456140351</v>
      </c>
      <c r="F17" s="392"/>
      <c r="G17" s="393"/>
    </row>
    <row r="18" spans="1:7" ht="18.75" x14ac:dyDescent="0.3">
      <c r="A18" s="273">
        <v>8</v>
      </c>
      <c r="B18" s="328" t="s">
        <v>1237</v>
      </c>
      <c r="C18" s="315">
        <v>5.2697368421052628</v>
      </c>
      <c r="D18" s="315">
        <v>8.7565789473684212</v>
      </c>
      <c r="E18" s="317">
        <f>SUM(C18+D18)/2</f>
        <v>7.0131578947368425</v>
      </c>
      <c r="F18" s="392"/>
      <c r="G18" s="393"/>
    </row>
    <row r="19" spans="1:7" ht="18.75" x14ac:dyDescent="0.3">
      <c r="A19" s="273">
        <v>9</v>
      </c>
      <c r="B19" s="328" t="s">
        <v>1175</v>
      </c>
      <c r="C19" s="315">
        <v>7.6578947368421053</v>
      </c>
      <c r="D19" s="315">
        <v>3.138157894736842</v>
      </c>
      <c r="E19" s="317">
        <f>SUM(C19+D19)/2</f>
        <v>5.3980263157894735</v>
      </c>
      <c r="F19" s="392"/>
      <c r="G19" s="393"/>
    </row>
    <row r="20" spans="1:7" ht="18.75" x14ac:dyDescent="0.3">
      <c r="A20" s="273">
        <v>10</v>
      </c>
      <c r="B20" s="273" t="s">
        <v>1167</v>
      </c>
      <c r="C20" s="316"/>
      <c r="D20" s="315" t="s">
        <v>1170</v>
      </c>
      <c r="E20" s="315" t="s">
        <v>1170</v>
      </c>
      <c r="F20" s="392"/>
      <c r="G20" s="393"/>
    </row>
    <row r="21" spans="1:7" ht="18.75" x14ac:dyDescent="0.3">
      <c r="A21" s="273">
        <v>11</v>
      </c>
      <c r="B21" s="328" t="s">
        <v>786</v>
      </c>
      <c r="C21" s="315">
        <v>4.4385964912280702</v>
      </c>
      <c r="D21" s="315">
        <v>2.2061403508771931</v>
      </c>
      <c r="E21" s="317">
        <f>SUM(C21+D21)/2</f>
        <v>3.3223684210526319</v>
      </c>
      <c r="F21" s="392"/>
      <c r="G21" s="393"/>
    </row>
    <row r="22" spans="1:7" ht="18.75" x14ac:dyDescent="0.3">
      <c r="A22" s="273">
        <v>12</v>
      </c>
      <c r="B22" s="328" t="s">
        <v>1173</v>
      </c>
      <c r="C22" s="315">
        <v>3.1184210526315788</v>
      </c>
      <c r="D22" s="315">
        <v>1.7192982456140351</v>
      </c>
      <c r="E22" s="317">
        <f>SUM(C22+D22)/2</f>
        <v>2.4188596491228069</v>
      </c>
      <c r="F22" s="393"/>
      <c r="G22" s="393"/>
    </row>
    <row r="23" spans="1:7" ht="18.75" x14ac:dyDescent="0.3">
      <c r="A23" s="392"/>
      <c r="B23" s="336" t="s">
        <v>392</v>
      </c>
      <c r="C23" s="336"/>
      <c r="D23" s="336"/>
      <c r="E23" s="336"/>
      <c r="F23" s="393"/>
      <c r="G23" s="393"/>
    </row>
    <row r="24" spans="1:7" ht="18.75" x14ac:dyDescent="0.3">
      <c r="A24" s="392"/>
      <c r="B24" s="392"/>
      <c r="C24" s="392"/>
      <c r="D24" s="392"/>
      <c r="E24" s="392"/>
      <c r="F24" s="393"/>
      <c r="G24" s="393"/>
    </row>
    <row r="25" spans="1:7" ht="18.75" x14ac:dyDescent="0.3">
      <c r="A25" s="392"/>
      <c r="B25" s="392"/>
      <c r="C25" s="273" t="s">
        <v>393</v>
      </c>
      <c r="D25" s="273" t="s">
        <v>394</v>
      </c>
      <c r="E25" s="273" t="s">
        <v>395</v>
      </c>
      <c r="F25" s="393"/>
      <c r="G25" s="393"/>
    </row>
    <row r="26" spans="1:7" ht="18.75" x14ac:dyDescent="0.3">
      <c r="A26" s="392"/>
      <c r="B26" s="389" t="s">
        <v>396</v>
      </c>
      <c r="C26" s="321">
        <v>6</v>
      </c>
      <c r="D26" s="321">
        <v>6</v>
      </c>
      <c r="E26" s="321">
        <v>12</v>
      </c>
      <c r="F26" s="393"/>
      <c r="G26" s="393"/>
    </row>
    <row r="27" spans="1:7" ht="18.75" x14ac:dyDescent="0.3">
      <c r="A27" s="392"/>
      <c r="B27" s="273" t="s">
        <v>397</v>
      </c>
      <c r="C27" s="321">
        <v>6</v>
      </c>
      <c r="D27" s="321">
        <v>6</v>
      </c>
      <c r="E27" s="321">
        <f>SUM(C27:D27)</f>
        <v>12</v>
      </c>
      <c r="F27" s="393"/>
      <c r="G27" s="393"/>
    </row>
    <row r="28" spans="1:7" ht="18.75" x14ac:dyDescent="0.3">
      <c r="A28" s="392"/>
      <c r="B28" s="273" t="s">
        <v>398</v>
      </c>
      <c r="C28" s="321">
        <v>2</v>
      </c>
      <c r="D28" s="321">
        <v>0</v>
      </c>
      <c r="E28" s="321">
        <f>SUM(C28:D28)</f>
        <v>2</v>
      </c>
      <c r="F28" s="393"/>
      <c r="G28" s="393"/>
    </row>
    <row r="29" spans="1:7" ht="18.75" x14ac:dyDescent="0.3">
      <c r="A29" s="392"/>
      <c r="B29" s="273" t="s">
        <v>399</v>
      </c>
      <c r="C29" s="321">
        <v>0</v>
      </c>
      <c r="D29" s="321">
        <v>2</v>
      </c>
      <c r="E29" s="321">
        <v>2</v>
      </c>
      <c r="F29" s="393"/>
      <c r="G29" s="393"/>
    </row>
    <row r="30" spans="1:7" ht="18.75" x14ac:dyDescent="0.3">
      <c r="A30" s="392"/>
      <c r="B30" s="273" t="s">
        <v>400</v>
      </c>
      <c r="C30" s="321">
        <v>6</v>
      </c>
      <c r="D30" s="321">
        <v>4</v>
      </c>
      <c r="E30" s="321">
        <v>10</v>
      </c>
      <c r="F30" s="393"/>
      <c r="G30" s="393"/>
    </row>
    <row r="31" spans="1:7" ht="18.75" x14ac:dyDescent="0.3">
      <c r="A31" s="392"/>
      <c r="B31" s="273" t="s">
        <v>401</v>
      </c>
      <c r="C31" s="374">
        <f>+C29/C26</f>
        <v>0</v>
      </c>
      <c r="D31" s="374">
        <f>+D29/D26</f>
        <v>0.33333333333333331</v>
      </c>
      <c r="E31" s="374">
        <f>+E29/E26</f>
        <v>0.16666666666666666</v>
      </c>
      <c r="F31" s="393"/>
      <c r="G31" s="393"/>
    </row>
    <row r="32" spans="1:7" ht="18.75" x14ac:dyDescent="0.3">
      <c r="A32" s="392"/>
      <c r="B32" s="392"/>
      <c r="C32" s="394"/>
      <c r="D32" s="394"/>
      <c r="E32" s="393"/>
      <c r="F32" s="393"/>
      <c r="G32" s="393"/>
    </row>
    <row r="33" spans="1:7" ht="18.75" x14ac:dyDescent="0.3">
      <c r="A33" s="383"/>
      <c r="B33" s="383" t="s">
        <v>1054</v>
      </c>
      <c r="C33" s="383"/>
      <c r="D33" s="393"/>
      <c r="E33" s="393"/>
      <c r="F33" s="394"/>
      <c r="G33" s="393"/>
    </row>
    <row r="34" spans="1:7" ht="18.75" x14ac:dyDescent="0.3">
      <c r="A34" s="383"/>
      <c r="B34" s="383"/>
      <c r="C34" s="383"/>
      <c r="D34" s="383"/>
      <c r="E34" s="383"/>
      <c r="F34" s="394"/>
      <c r="G34" s="393"/>
    </row>
    <row r="35" spans="1:7" ht="18.75" x14ac:dyDescent="0.3">
      <c r="A35" s="390"/>
      <c r="B35" s="390" t="s">
        <v>1053</v>
      </c>
      <c r="C35" s="383"/>
      <c r="D35" s="391" t="s">
        <v>404</v>
      </c>
      <c r="E35" s="391"/>
      <c r="F35" s="394"/>
      <c r="G35" s="393"/>
    </row>
    <row r="36" spans="1:7" ht="15.75" customHeight="1" x14ac:dyDescent="0.3">
      <c r="A36" s="383"/>
      <c r="B36" s="383"/>
      <c r="C36" s="383"/>
      <c r="D36" s="383"/>
      <c r="E36" s="383"/>
      <c r="F36" s="394"/>
      <c r="G36" s="393"/>
    </row>
    <row r="37" spans="1:7" ht="18.75" x14ac:dyDescent="0.3">
      <c r="A37" s="383"/>
      <c r="B37" s="383"/>
      <c r="C37" s="383"/>
      <c r="D37" s="383"/>
      <c r="E37" s="383"/>
      <c r="F37" s="394"/>
      <c r="G37" s="393"/>
    </row>
    <row r="38" spans="1:7" ht="18.75" x14ac:dyDescent="0.3">
      <c r="A38" s="383"/>
      <c r="B38" s="383"/>
      <c r="C38" s="383"/>
      <c r="D38" s="383"/>
      <c r="E38" s="383"/>
      <c r="F38" s="394"/>
      <c r="G38" s="393"/>
    </row>
    <row r="39" spans="1:7" ht="18.75" x14ac:dyDescent="0.3">
      <c r="A39" s="383" t="s">
        <v>1052</v>
      </c>
      <c r="B39" s="383"/>
      <c r="C39" s="383"/>
      <c r="D39" s="391" t="s">
        <v>1055</v>
      </c>
      <c r="E39" s="391"/>
      <c r="F39" s="394"/>
      <c r="G39" s="393"/>
    </row>
    <row r="40" spans="1:7" ht="18.75" x14ac:dyDescent="0.3">
      <c r="A40" s="392"/>
      <c r="B40" s="392"/>
      <c r="C40" s="394"/>
      <c r="D40" s="394"/>
      <c r="E40" s="394"/>
      <c r="F40" s="393"/>
      <c r="G40" s="393"/>
    </row>
    <row r="41" spans="1:7" x14ac:dyDescent="0.25">
      <c r="B41" s="84"/>
      <c r="D41" s="190"/>
      <c r="E41" s="190"/>
    </row>
    <row r="42" spans="1:7" x14ac:dyDescent="0.25">
      <c r="B42" s="84"/>
      <c r="D42" s="190"/>
      <c r="E42" s="190"/>
    </row>
    <row r="43" spans="1:7" x14ac:dyDescent="0.25">
      <c r="A43" s="84"/>
      <c r="B43" s="84"/>
      <c r="C43" s="190"/>
      <c r="D43" s="190"/>
      <c r="E43" s="190"/>
    </row>
    <row r="44" spans="1:7" x14ac:dyDescent="0.25">
      <c r="A44" s="84"/>
      <c r="B44" s="197"/>
      <c r="C44" s="190"/>
      <c r="D44" s="190"/>
      <c r="E44" s="190"/>
    </row>
    <row r="45" spans="1:7" x14ac:dyDescent="0.25">
      <c r="A45" s="84"/>
      <c r="B45" s="197"/>
      <c r="C45" s="190"/>
      <c r="D45" s="190"/>
      <c r="E45" s="190"/>
    </row>
    <row r="46" spans="1:7" x14ac:dyDescent="0.25">
      <c r="A46" s="84"/>
      <c r="B46" s="84"/>
      <c r="C46" s="190"/>
      <c r="D46" s="190"/>
    </row>
    <row r="47" spans="1:7" x14ac:dyDescent="0.25">
      <c r="A47" s="84"/>
      <c r="B47" s="84"/>
      <c r="C47" s="190"/>
      <c r="D47" s="190"/>
    </row>
    <row r="48" spans="1:7" x14ac:dyDescent="0.25">
      <c r="A48" s="84"/>
      <c r="B48" s="84"/>
      <c r="C48" s="190"/>
    </row>
    <row r="49" spans="1:3" x14ac:dyDescent="0.25">
      <c r="A49" s="84"/>
      <c r="B49" s="84"/>
      <c r="C49" s="190"/>
    </row>
    <row r="50" spans="1:3" x14ac:dyDescent="0.25">
      <c r="A50" s="84"/>
      <c r="B50" s="84"/>
      <c r="C50" s="190"/>
    </row>
    <row r="51" spans="1:3" x14ac:dyDescent="0.25">
      <c r="A51" s="84"/>
      <c r="B51" s="84"/>
      <c r="C51" s="190"/>
    </row>
    <row r="52" spans="1:3" x14ac:dyDescent="0.25">
      <c r="A52" s="84"/>
      <c r="B52" s="84"/>
      <c r="C52" s="190"/>
    </row>
    <row r="53" spans="1:3" x14ac:dyDescent="0.25">
      <c r="A53" s="84"/>
      <c r="B53" s="84"/>
      <c r="C53" s="190"/>
    </row>
    <row r="54" spans="1:3" x14ac:dyDescent="0.25">
      <c r="A54" s="84"/>
      <c r="B54" s="84"/>
    </row>
    <row r="55" spans="1:3" x14ac:dyDescent="0.25">
      <c r="A55" s="84"/>
      <c r="B55" s="84"/>
    </row>
    <row r="56" spans="1:3" ht="18" customHeight="1" x14ac:dyDescent="0.25">
      <c r="A56" s="84"/>
      <c r="B56" s="84"/>
    </row>
    <row r="57" spans="1:3" x14ac:dyDescent="0.25">
      <c r="A57" s="84"/>
      <c r="B57" s="84"/>
    </row>
    <row r="58" spans="1:3" x14ac:dyDescent="0.25">
      <c r="A58" s="84"/>
      <c r="B58" s="84"/>
    </row>
    <row r="59" spans="1:3" x14ac:dyDescent="0.25">
      <c r="A59" s="84"/>
      <c r="B59" s="84"/>
    </row>
    <row r="60" spans="1:3" x14ac:dyDescent="0.25">
      <c r="A60" s="84"/>
      <c r="B60" s="84"/>
    </row>
    <row r="61" spans="1:3" x14ac:dyDescent="0.25">
      <c r="A61" s="84"/>
      <c r="B61" s="84"/>
    </row>
    <row r="62" spans="1:3" x14ac:dyDescent="0.25">
      <c r="A62" s="84"/>
      <c r="B62" s="84"/>
    </row>
    <row r="63" spans="1:3" x14ac:dyDescent="0.25">
      <c r="A63" s="84"/>
      <c r="B63" s="84"/>
    </row>
    <row r="64" spans="1:3" x14ac:dyDescent="0.25">
      <c r="A64" s="84"/>
      <c r="B64" s="84"/>
    </row>
    <row r="65" spans="1:5" x14ac:dyDescent="0.25">
      <c r="A65" s="84"/>
      <c r="B65" s="84"/>
    </row>
    <row r="66" spans="1:5" x14ac:dyDescent="0.25">
      <c r="A66" s="84"/>
      <c r="B66" s="84"/>
    </row>
    <row r="67" spans="1:5" x14ac:dyDescent="0.25">
      <c r="A67" s="84"/>
      <c r="B67" s="84"/>
    </row>
    <row r="68" spans="1:5" x14ac:dyDescent="0.25">
      <c r="A68" s="84"/>
      <c r="B68" s="84"/>
    </row>
    <row r="69" spans="1:5" x14ac:dyDescent="0.25">
      <c r="A69" s="84"/>
      <c r="B69" s="84"/>
    </row>
    <row r="70" spans="1:5" ht="21" customHeight="1" x14ac:dyDescent="0.25">
      <c r="A70" s="84"/>
      <c r="B70" s="84"/>
    </row>
    <row r="71" spans="1:5" x14ac:dyDescent="0.25">
      <c r="A71" s="84"/>
      <c r="B71" s="84"/>
    </row>
    <row r="72" spans="1:5" x14ac:dyDescent="0.25">
      <c r="A72" s="84"/>
      <c r="B72" s="84"/>
    </row>
    <row r="73" spans="1:5" x14ac:dyDescent="0.25">
      <c r="A73" s="84"/>
      <c r="B73" s="84"/>
    </row>
    <row r="74" spans="1:5" x14ac:dyDescent="0.25">
      <c r="A74" s="84"/>
      <c r="B74" s="84"/>
    </row>
    <row r="75" spans="1:5" x14ac:dyDescent="0.25">
      <c r="A75" s="84"/>
      <c r="B75" s="84"/>
    </row>
    <row r="76" spans="1:5" x14ac:dyDescent="0.25">
      <c r="A76" s="84"/>
      <c r="B76" s="84"/>
    </row>
    <row r="77" spans="1:5" x14ac:dyDescent="0.25">
      <c r="A77" s="84"/>
      <c r="B77" s="84"/>
    </row>
    <row r="78" spans="1:5" x14ac:dyDescent="0.25">
      <c r="A78" s="84"/>
      <c r="B78" s="84"/>
    </row>
    <row r="79" spans="1:5" ht="16.5" x14ac:dyDescent="0.3">
      <c r="A79" s="140"/>
      <c r="B79" s="121"/>
      <c r="C79" s="181"/>
      <c r="D79" s="181"/>
      <c r="E79" s="182"/>
    </row>
    <row r="80" spans="1:5" ht="16.5" x14ac:dyDescent="0.3">
      <c r="A80" s="140"/>
      <c r="B80" s="121"/>
      <c r="C80" s="181"/>
      <c r="D80" s="181"/>
      <c r="E80" s="182"/>
    </row>
    <row r="81" spans="1:7" ht="16.5" x14ac:dyDescent="0.3">
      <c r="A81" s="140"/>
      <c r="B81" s="121"/>
      <c r="C81" s="181"/>
      <c r="D81" s="181"/>
      <c r="E81" s="182"/>
      <c r="F81" s="84"/>
      <c r="G81" s="84"/>
    </row>
    <row r="82" spans="1:7" ht="16.5" x14ac:dyDescent="0.3">
      <c r="A82" s="140"/>
      <c r="B82" s="121"/>
      <c r="C82" s="181"/>
      <c r="D82" s="181"/>
      <c r="E82" s="182"/>
      <c r="F82" s="84"/>
      <c r="G82" s="84"/>
    </row>
    <row r="83" spans="1:7" ht="16.5" x14ac:dyDescent="0.3">
      <c r="A83" s="77"/>
      <c r="B83" s="85"/>
      <c r="C83" s="91"/>
      <c r="D83" s="91"/>
      <c r="E83" s="91"/>
      <c r="F83" s="84"/>
      <c r="G83" s="84"/>
    </row>
    <row r="84" spans="1:7" ht="16.5" x14ac:dyDescent="0.3">
      <c r="A84" s="91"/>
      <c r="B84" s="291" t="s">
        <v>392</v>
      </c>
      <c r="C84" s="291"/>
      <c r="D84" s="291"/>
      <c r="E84" s="291"/>
      <c r="F84" s="84"/>
      <c r="G84" s="84"/>
    </row>
    <row r="85" spans="1:7" ht="16.5" x14ac:dyDescent="0.3">
      <c r="A85" s="91"/>
      <c r="B85" s="91"/>
      <c r="C85" s="91"/>
      <c r="D85" s="91"/>
      <c r="E85" s="91"/>
      <c r="F85" s="84"/>
      <c r="G85" s="84"/>
    </row>
    <row r="86" spans="1:7" ht="16.5" x14ac:dyDescent="0.3">
      <c r="A86" s="91"/>
      <c r="B86" s="91"/>
      <c r="C86" s="47" t="s">
        <v>393</v>
      </c>
      <c r="D86" s="47" t="s">
        <v>394</v>
      </c>
      <c r="E86" s="47" t="s">
        <v>395</v>
      </c>
      <c r="F86" s="86"/>
      <c r="G86" s="79"/>
    </row>
    <row r="87" spans="1:7" ht="16.5" x14ac:dyDescent="0.3">
      <c r="A87" s="91"/>
      <c r="B87" s="88" t="s">
        <v>396</v>
      </c>
      <c r="C87" s="49">
        <v>35</v>
      </c>
      <c r="D87" s="49">
        <v>35</v>
      </c>
      <c r="E87" s="49">
        <f>SUM(C87:D87)</f>
        <v>70</v>
      </c>
      <c r="F87" s="86"/>
      <c r="G87" s="84"/>
    </row>
    <row r="88" spans="1:7" ht="16.5" x14ac:dyDescent="0.3">
      <c r="A88" s="91"/>
      <c r="B88" s="87" t="s">
        <v>397</v>
      </c>
      <c r="C88" s="49">
        <v>30</v>
      </c>
      <c r="D88" s="49">
        <v>31</v>
      </c>
      <c r="E88" s="49">
        <f>SUM(C88:D88)</f>
        <v>61</v>
      </c>
      <c r="F88" s="86"/>
      <c r="G88" s="84"/>
    </row>
    <row r="89" spans="1:7" ht="16.5" x14ac:dyDescent="0.3">
      <c r="A89" s="91"/>
      <c r="B89" s="87" t="s">
        <v>398</v>
      </c>
      <c r="C89" s="49">
        <v>5</v>
      </c>
      <c r="D89" s="49">
        <v>4</v>
      </c>
      <c r="E89" s="49">
        <f>SUM(C89:D89)</f>
        <v>9</v>
      </c>
      <c r="F89" s="86"/>
      <c r="G89" s="84"/>
    </row>
    <row r="90" spans="1:7" ht="16.5" x14ac:dyDescent="0.3">
      <c r="A90" s="91"/>
      <c r="B90" s="87" t="s">
        <v>399</v>
      </c>
      <c r="C90" s="49">
        <v>17</v>
      </c>
      <c r="D90" s="49">
        <v>11</v>
      </c>
      <c r="E90" s="49">
        <v>27</v>
      </c>
      <c r="F90" s="86"/>
      <c r="G90" s="84"/>
    </row>
    <row r="91" spans="1:7" ht="16.5" x14ac:dyDescent="0.3">
      <c r="A91" s="91"/>
      <c r="B91" s="87" t="s">
        <v>400</v>
      </c>
      <c r="C91" s="49">
        <v>18</v>
      </c>
      <c r="D91" s="49">
        <v>20</v>
      </c>
      <c r="E91" s="49">
        <f>SUM(C91:D91)</f>
        <v>38</v>
      </c>
      <c r="F91" s="86"/>
      <c r="G91" s="79"/>
    </row>
    <row r="92" spans="1:7" ht="16.5" x14ac:dyDescent="0.3">
      <c r="A92" s="91"/>
      <c r="B92" s="87" t="s">
        <v>401</v>
      </c>
      <c r="C92" s="50">
        <f>+C90/C87</f>
        <v>0.48571428571428571</v>
      </c>
      <c r="D92" s="50">
        <f>+D90/D87</f>
        <v>0.31428571428571428</v>
      </c>
      <c r="E92" s="50">
        <f>+E90/E87</f>
        <v>0.38571428571428573</v>
      </c>
      <c r="F92" s="86"/>
      <c r="G92" s="91"/>
    </row>
    <row r="93" spans="1:7" ht="16.5" x14ac:dyDescent="0.3">
      <c r="A93" s="86"/>
      <c r="B93" s="86"/>
      <c r="C93" s="86"/>
      <c r="D93" s="86"/>
      <c r="E93" s="86"/>
      <c r="F93" s="86"/>
      <c r="G93" s="91"/>
    </row>
    <row r="94" spans="1:7" ht="16.5" x14ac:dyDescent="0.3">
      <c r="A94" s="91"/>
      <c r="B94" s="91"/>
      <c r="C94" s="91"/>
      <c r="D94" s="77" t="s">
        <v>418</v>
      </c>
      <c r="E94" s="77"/>
      <c r="F94" s="86"/>
      <c r="G94" s="91"/>
    </row>
    <row r="95" spans="1:7" ht="16.5" x14ac:dyDescent="0.3">
      <c r="A95" s="91"/>
      <c r="B95" s="91"/>
      <c r="C95" s="91"/>
      <c r="D95" s="91"/>
      <c r="E95" s="91"/>
      <c r="F95" s="86"/>
      <c r="G95" s="91"/>
    </row>
    <row r="96" spans="1:7" ht="16.5" x14ac:dyDescent="0.3">
      <c r="A96" s="303" t="s">
        <v>403</v>
      </c>
      <c r="B96" s="303"/>
      <c r="C96" s="77"/>
      <c r="D96" s="77"/>
      <c r="E96" s="77" t="s">
        <v>404</v>
      </c>
      <c r="F96" s="143"/>
      <c r="G96" s="91"/>
    </row>
    <row r="97" spans="1:7" ht="16.5" x14ac:dyDescent="0.3">
      <c r="A97" s="91"/>
      <c r="B97" s="91"/>
      <c r="C97" s="91"/>
      <c r="D97" s="91"/>
      <c r="E97" s="91"/>
      <c r="F97" s="86"/>
      <c r="G97" s="91"/>
    </row>
    <row r="98" spans="1:7" ht="16.5" x14ac:dyDescent="0.3">
      <c r="A98" s="91"/>
      <c r="B98" s="91"/>
      <c r="C98" s="91"/>
      <c r="D98" s="91"/>
      <c r="E98" s="91"/>
      <c r="F98" s="143"/>
      <c r="G98" s="91"/>
    </row>
    <row r="99" spans="1:7" ht="16.5" x14ac:dyDescent="0.3">
      <c r="A99" s="91"/>
      <c r="B99" s="91"/>
      <c r="C99" s="91"/>
      <c r="D99" s="91"/>
      <c r="E99" s="91"/>
      <c r="F99" s="86"/>
      <c r="G99" s="91"/>
    </row>
    <row r="100" spans="1:7" ht="16.5" x14ac:dyDescent="0.3">
      <c r="A100" s="303" t="s">
        <v>424</v>
      </c>
      <c r="B100" s="303"/>
      <c r="C100" s="77"/>
      <c r="D100" s="77"/>
      <c r="E100" s="77" t="s">
        <v>8</v>
      </c>
      <c r="F100" s="86"/>
      <c r="G100" s="91"/>
    </row>
    <row r="101" spans="1:7" ht="16.5" x14ac:dyDescent="0.3">
      <c r="A101" s="91"/>
      <c r="B101" s="85"/>
      <c r="C101" s="91"/>
      <c r="D101" s="91"/>
      <c r="E101" s="91"/>
      <c r="F101" s="86"/>
      <c r="G101" s="91"/>
    </row>
    <row r="102" spans="1:7" ht="16.5" x14ac:dyDescent="0.3">
      <c r="F102" s="143"/>
      <c r="G102" s="91"/>
    </row>
    <row r="103" spans="1:7" ht="16.5" x14ac:dyDescent="0.3">
      <c r="F103" s="91"/>
      <c r="G103" s="91"/>
    </row>
  </sheetData>
  <sortState ref="B11:E22">
    <sortCondition descending="1" ref="E11:E22"/>
  </sortState>
  <mergeCells count="11">
    <mergeCell ref="B84:E84"/>
    <mergeCell ref="A96:B96"/>
    <mergeCell ref="A100:B100"/>
    <mergeCell ref="C2:E2"/>
    <mergeCell ref="B5:G5"/>
    <mergeCell ref="B9:E9"/>
    <mergeCell ref="C6:G6"/>
    <mergeCell ref="A7:G8"/>
    <mergeCell ref="B23:E23"/>
    <mergeCell ref="D35:E35"/>
    <mergeCell ref="D39:E39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Views>
    <sheetView topLeftCell="A2" workbookViewId="0">
      <selection activeCell="B11" sqref="B11:B54"/>
    </sheetView>
  </sheetViews>
  <sheetFormatPr baseColWidth="10" defaultRowHeight="15" x14ac:dyDescent="0.25"/>
  <cols>
    <col min="1" max="1" width="4.7109375" customWidth="1"/>
    <col min="2" max="2" width="28.140625" customWidth="1"/>
    <col min="3" max="3" width="19" customWidth="1"/>
    <col min="4" max="4" width="10.7109375" customWidth="1"/>
    <col min="5" max="5" width="9.140625" customWidth="1"/>
    <col min="6" max="6" width="7.42578125" customWidth="1"/>
  </cols>
  <sheetData>
    <row r="1" spans="1:7" ht="20.25" x14ac:dyDescent="0.3">
      <c r="A1" s="1" t="s">
        <v>929</v>
      </c>
      <c r="B1" s="6"/>
      <c r="C1" s="31" t="s">
        <v>5</v>
      </c>
      <c r="D1" s="31"/>
      <c r="E1" s="31"/>
      <c r="F1" s="2"/>
      <c r="G1" s="2"/>
    </row>
    <row r="2" spans="1:7" ht="16.5" x14ac:dyDescent="0.3">
      <c r="A2" s="1" t="s">
        <v>930</v>
      </c>
      <c r="B2" s="6"/>
      <c r="C2" s="276" t="s">
        <v>6</v>
      </c>
      <c r="D2" s="276"/>
      <c r="E2" s="276"/>
      <c r="F2" s="2"/>
      <c r="G2" s="2"/>
    </row>
    <row r="3" spans="1:7" ht="16.5" x14ac:dyDescent="0.3">
      <c r="A3" s="1" t="s">
        <v>931</v>
      </c>
      <c r="B3" s="6"/>
      <c r="C3" s="2"/>
      <c r="D3" s="2"/>
      <c r="E3" s="2"/>
      <c r="F3" s="2"/>
      <c r="G3" s="2"/>
    </row>
    <row r="4" spans="1:7" ht="16.5" x14ac:dyDescent="0.3">
      <c r="A4" s="1" t="s">
        <v>932</v>
      </c>
      <c r="B4" s="6"/>
      <c r="C4" s="2"/>
      <c r="D4" s="3"/>
      <c r="E4" s="3"/>
      <c r="F4" s="2"/>
      <c r="G4" s="2"/>
    </row>
    <row r="5" spans="1:7" ht="16.5" x14ac:dyDescent="0.3">
      <c r="A5" s="2"/>
      <c r="B5" s="279" t="s">
        <v>934</v>
      </c>
      <c r="C5" s="279"/>
      <c r="D5" s="279"/>
      <c r="E5" s="279"/>
      <c r="F5" s="279"/>
      <c r="G5" s="279"/>
    </row>
    <row r="6" spans="1:7" ht="18" x14ac:dyDescent="0.3">
      <c r="A6" s="2"/>
      <c r="B6" s="4"/>
      <c r="C6" s="279" t="s">
        <v>942</v>
      </c>
      <c r="D6" s="279"/>
      <c r="E6" s="279"/>
      <c r="F6" s="279"/>
      <c r="G6" s="279"/>
    </row>
    <row r="7" spans="1:7" ht="16.5" x14ac:dyDescent="0.3">
      <c r="A7" s="2"/>
      <c r="B7" s="280" t="s">
        <v>941</v>
      </c>
      <c r="C7" s="280"/>
      <c r="D7" s="280"/>
      <c r="E7" s="280"/>
      <c r="F7" s="280"/>
      <c r="G7" s="280"/>
    </row>
    <row r="8" spans="1:7" ht="16.5" x14ac:dyDescent="0.3">
      <c r="A8" s="2"/>
      <c r="B8" s="280"/>
      <c r="C8" s="280"/>
      <c r="D8" s="280"/>
      <c r="E8" s="280"/>
      <c r="F8" s="280"/>
      <c r="G8" s="280"/>
    </row>
    <row r="9" spans="1:7" ht="16.5" x14ac:dyDescent="0.3">
      <c r="A9" s="2"/>
      <c r="B9" s="277"/>
      <c r="C9" s="277"/>
      <c r="D9" s="277"/>
      <c r="E9" s="278"/>
      <c r="F9" s="2"/>
      <c r="G9" s="2"/>
    </row>
    <row r="10" spans="1:7" ht="38.25" x14ac:dyDescent="0.25">
      <c r="A10" s="30" t="s">
        <v>106</v>
      </c>
      <c r="B10" s="35" t="s">
        <v>0</v>
      </c>
      <c r="C10" s="35" t="s">
        <v>208</v>
      </c>
      <c r="D10" s="35" t="s">
        <v>209</v>
      </c>
      <c r="E10" s="35" t="s">
        <v>210</v>
      </c>
      <c r="F10" s="8"/>
      <c r="G10" s="8"/>
    </row>
    <row r="11" spans="1:7" ht="18" x14ac:dyDescent="0.3">
      <c r="A11" s="10" t="s">
        <v>317</v>
      </c>
      <c r="B11" s="10" t="s">
        <v>915</v>
      </c>
      <c r="C11" s="239">
        <v>15.8</v>
      </c>
      <c r="D11" s="239">
        <v>17.666666666666668</v>
      </c>
      <c r="E11" s="207">
        <v>17.044444444444448</v>
      </c>
      <c r="F11" s="5"/>
      <c r="G11" s="5"/>
    </row>
    <row r="12" spans="1:7" ht="18" x14ac:dyDescent="0.3">
      <c r="A12" s="10" t="s">
        <v>212</v>
      </c>
      <c r="B12" s="10" t="s">
        <v>888</v>
      </c>
      <c r="C12" s="239">
        <v>13.7</v>
      </c>
      <c r="D12" s="239">
        <v>17.083333333333332</v>
      </c>
      <c r="E12" s="207">
        <v>15.955555555555554</v>
      </c>
      <c r="G12" s="5"/>
    </row>
    <row r="13" spans="1:7" ht="18" x14ac:dyDescent="0.3">
      <c r="A13" s="10" t="s">
        <v>213</v>
      </c>
      <c r="B13" s="10" t="s">
        <v>879</v>
      </c>
      <c r="C13" s="239">
        <v>15.5</v>
      </c>
      <c r="D13" s="239">
        <v>16.166666666666668</v>
      </c>
      <c r="E13" s="207">
        <v>15.944444444444445</v>
      </c>
      <c r="G13" s="5"/>
    </row>
    <row r="14" spans="1:7" ht="18" x14ac:dyDescent="0.3">
      <c r="A14" s="10" t="s">
        <v>214</v>
      </c>
      <c r="B14" s="10" t="s">
        <v>911</v>
      </c>
      <c r="C14" s="239">
        <v>15.2</v>
      </c>
      <c r="D14" s="239">
        <v>16.166666666666668</v>
      </c>
      <c r="E14" s="207">
        <v>15.844444444444443</v>
      </c>
      <c r="G14" s="5"/>
    </row>
    <row r="15" spans="1:7" ht="18" x14ac:dyDescent="0.3">
      <c r="A15" s="10" t="s">
        <v>215</v>
      </c>
      <c r="B15" s="10" t="s">
        <v>893</v>
      </c>
      <c r="C15" s="239">
        <v>15</v>
      </c>
      <c r="D15" s="239">
        <v>15.166666666666666</v>
      </c>
      <c r="E15" s="207">
        <v>15.111111111111109</v>
      </c>
      <c r="F15" s="5"/>
      <c r="G15" s="5"/>
    </row>
    <row r="16" spans="1:7" ht="18" x14ac:dyDescent="0.3">
      <c r="A16" s="10" t="s">
        <v>216</v>
      </c>
      <c r="B16" s="10" t="s">
        <v>919</v>
      </c>
      <c r="C16" s="60">
        <v>14.5</v>
      </c>
      <c r="D16" s="60">
        <v>15</v>
      </c>
      <c r="E16" s="60">
        <v>14.833333333333334</v>
      </c>
      <c r="F16" s="5"/>
      <c r="G16" s="5"/>
    </row>
    <row r="17" spans="1:7" ht="18" x14ac:dyDescent="0.3">
      <c r="A17" s="10" t="s">
        <v>217</v>
      </c>
      <c r="B17" s="10" t="s">
        <v>889</v>
      </c>
      <c r="C17" s="239">
        <v>13.4</v>
      </c>
      <c r="D17" s="239">
        <v>14.5</v>
      </c>
      <c r="E17" s="207">
        <v>14.133333333333333</v>
      </c>
      <c r="F17" s="11"/>
      <c r="G17" s="11"/>
    </row>
    <row r="18" spans="1:7" ht="18" x14ac:dyDescent="0.3">
      <c r="A18" s="10" t="s">
        <v>218</v>
      </c>
      <c r="B18" s="10" t="s">
        <v>904</v>
      </c>
      <c r="C18" s="239">
        <v>13.8</v>
      </c>
      <c r="D18" s="239">
        <v>14</v>
      </c>
      <c r="E18" s="207">
        <v>13.933333333333332</v>
      </c>
      <c r="F18" s="11"/>
      <c r="G18" s="11"/>
    </row>
    <row r="19" spans="1:7" ht="18" x14ac:dyDescent="0.3">
      <c r="A19" s="10" t="s">
        <v>219</v>
      </c>
      <c r="B19" s="10" t="s">
        <v>898</v>
      </c>
      <c r="C19" s="239">
        <v>14.1</v>
      </c>
      <c r="D19" s="239">
        <v>12.916666666666666</v>
      </c>
      <c r="E19" s="207">
        <v>13.31111111111111</v>
      </c>
      <c r="F19" s="5"/>
      <c r="G19" s="5"/>
    </row>
    <row r="20" spans="1:7" ht="18" x14ac:dyDescent="0.3">
      <c r="A20" s="10" t="s">
        <v>220</v>
      </c>
      <c r="B20" s="10" t="s">
        <v>885</v>
      </c>
      <c r="C20" s="239">
        <v>13.6</v>
      </c>
      <c r="D20" s="239">
        <v>13</v>
      </c>
      <c r="E20" s="38">
        <v>13.200000000000001</v>
      </c>
      <c r="F20" s="5"/>
      <c r="G20" s="5"/>
    </row>
    <row r="21" spans="1:7" ht="18" x14ac:dyDescent="0.3">
      <c r="A21" s="10" t="s">
        <v>221</v>
      </c>
      <c r="B21" s="10" t="s">
        <v>912</v>
      </c>
      <c r="C21" s="239">
        <v>13.5</v>
      </c>
      <c r="D21" s="239">
        <v>12.75</v>
      </c>
      <c r="E21" s="207">
        <v>13</v>
      </c>
      <c r="F21" s="5"/>
      <c r="G21" s="5"/>
    </row>
    <row r="22" spans="1:7" ht="18" x14ac:dyDescent="0.3">
      <c r="A22" s="10" t="s">
        <v>222</v>
      </c>
      <c r="B22" s="10" t="s">
        <v>907</v>
      </c>
      <c r="C22" s="239">
        <v>14</v>
      </c>
      <c r="D22" s="239">
        <v>12</v>
      </c>
      <c r="E22" s="207">
        <v>12.666666666666666</v>
      </c>
      <c r="F22" s="11"/>
      <c r="G22" s="11"/>
    </row>
    <row r="23" spans="1:7" ht="18" x14ac:dyDescent="0.3">
      <c r="A23" s="10" t="s">
        <v>223</v>
      </c>
      <c r="B23" s="10" t="s">
        <v>887</v>
      </c>
      <c r="C23" s="239">
        <v>13.5</v>
      </c>
      <c r="D23" s="239">
        <v>12.083333333333334</v>
      </c>
      <c r="E23" s="207">
        <v>12.555555555555557</v>
      </c>
      <c r="F23" s="5"/>
      <c r="G23" s="5"/>
    </row>
    <row r="24" spans="1:7" ht="18" x14ac:dyDescent="0.3">
      <c r="A24" s="10" t="s">
        <v>224</v>
      </c>
      <c r="B24" s="206" t="s">
        <v>881</v>
      </c>
      <c r="C24" s="239">
        <v>13.9</v>
      </c>
      <c r="D24" s="239">
        <v>11.583333333333334</v>
      </c>
      <c r="E24" s="207">
        <v>12.355555555555556</v>
      </c>
      <c r="F24" s="5"/>
      <c r="G24" s="5"/>
    </row>
    <row r="25" spans="1:7" ht="18" x14ac:dyDescent="0.3">
      <c r="A25" s="10" t="s">
        <v>226</v>
      </c>
      <c r="B25" s="10" t="s">
        <v>860</v>
      </c>
      <c r="C25" s="239">
        <v>12.5</v>
      </c>
      <c r="D25" s="239">
        <v>11</v>
      </c>
      <c r="E25" s="207">
        <v>11.5</v>
      </c>
      <c r="F25" s="5"/>
      <c r="G25" s="5"/>
    </row>
    <row r="26" spans="1:7" ht="18" x14ac:dyDescent="0.3">
      <c r="A26" s="10" t="s">
        <v>225</v>
      </c>
      <c r="B26" s="10" t="s">
        <v>903</v>
      </c>
      <c r="C26" s="239">
        <v>12.2</v>
      </c>
      <c r="D26" s="239">
        <v>11.083333333333334</v>
      </c>
      <c r="E26" s="38">
        <v>11.455555555555556</v>
      </c>
      <c r="F26" s="5"/>
      <c r="G26" s="5"/>
    </row>
    <row r="27" spans="1:7" ht="18" x14ac:dyDescent="0.3">
      <c r="A27" s="10" t="s">
        <v>227</v>
      </c>
      <c r="B27" s="10" t="s">
        <v>906</v>
      </c>
      <c r="C27" s="239">
        <v>12.3</v>
      </c>
      <c r="D27" s="239">
        <v>10.666666666666666</v>
      </c>
      <c r="E27" s="207">
        <v>11.21111111111111</v>
      </c>
      <c r="F27" s="5"/>
      <c r="G27" s="5"/>
    </row>
    <row r="28" spans="1:7" ht="18" x14ac:dyDescent="0.3">
      <c r="A28" s="10" t="s">
        <v>228</v>
      </c>
      <c r="B28" s="10" t="s">
        <v>920</v>
      </c>
      <c r="C28" s="239">
        <v>11.6</v>
      </c>
      <c r="D28" s="239">
        <v>10.75</v>
      </c>
      <c r="E28" s="38">
        <v>11.033333333333333</v>
      </c>
      <c r="F28" s="5"/>
      <c r="G28" s="5"/>
    </row>
    <row r="29" spans="1:7" ht="18" x14ac:dyDescent="0.3">
      <c r="A29" s="10" t="s">
        <v>229</v>
      </c>
      <c r="B29" s="10" t="s">
        <v>918</v>
      </c>
      <c r="C29" s="239">
        <v>11.9</v>
      </c>
      <c r="D29" s="239">
        <v>10.5</v>
      </c>
      <c r="E29" s="207">
        <v>10.966666666666667</v>
      </c>
      <c r="F29" s="5"/>
      <c r="G29" s="5"/>
    </row>
    <row r="30" spans="1:7" ht="18" x14ac:dyDescent="0.3">
      <c r="A30" s="10" t="s">
        <v>230</v>
      </c>
      <c r="B30" s="10" t="s">
        <v>901</v>
      </c>
      <c r="C30" s="239">
        <v>11.4</v>
      </c>
      <c r="D30" s="239">
        <v>10.333333333333334</v>
      </c>
      <c r="E30" s="207">
        <v>10.68888888888889</v>
      </c>
      <c r="F30" s="5"/>
      <c r="G30" s="5"/>
    </row>
    <row r="31" spans="1:7" ht="18" x14ac:dyDescent="0.3">
      <c r="A31" s="10" t="s">
        <v>315</v>
      </c>
      <c r="B31" s="10" t="s">
        <v>878</v>
      </c>
      <c r="C31" s="207">
        <v>12.2</v>
      </c>
      <c r="D31" s="207">
        <v>9.9166666666666661</v>
      </c>
      <c r="E31" s="207">
        <v>10.677777777777777</v>
      </c>
      <c r="F31" s="5"/>
      <c r="G31" s="5"/>
    </row>
    <row r="32" spans="1:7" ht="18" x14ac:dyDescent="0.3">
      <c r="A32" s="10" t="s">
        <v>232</v>
      </c>
      <c r="B32" s="10" t="s">
        <v>883</v>
      </c>
      <c r="C32" s="239">
        <v>13.6</v>
      </c>
      <c r="D32" s="239">
        <v>8.8333333333333339</v>
      </c>
      <c r="E32" s="207">
        <v>10.422222222222222</v>
      </c>
      <c r="F32" s="5"/>
      <c r="G32" s="5"/>
    </row>
    <row r="33" spans="1:7" ht="18" x14ac:dyDescent="0.3">
      <c r="A33" s="10" t="s">
        <v>233</v>
      </c>
      <c r="B33" s="10" t="s">
        <v>910</v>
      </c>
      <c r="C33" s="239">
        <v>10.9</v>
      </c>
      <c r="D33" s="239">
        <v>10.083333333333334</v>
      </c>
      <c r="E33" s="207">
        <v>10.355555555555556</v>
      </c>
      <c r="F33" s="13"/>
      <c r="G33" s="13"/>
    </row>
    <row r="34" spans="1:7" ht="18" x14ac:dyDescent="0.3">
      <c r="A34" s="10" t="s">
        <v>234</v>
      </c>
      <c r="B34" s="10" t="s">
        <v>900</v>
      </c>
      <c r="C34" s="239">
        <v>13.5</v>
      </c>
      <c r="D34" s="239">
        <v>8.4166666666666661</v>
      </c>
      <c r="E34" s="207">
        <v>10.111111111111111</v>
      </c>
      <c r="F34" s="5"/>
      <c r="G34" s="5"/>
    </row>
    <row r="35" spans="1:7" ht="18" x14ac:dyDescent="0.3">
      <c r="A35" s="10" t="s">
        <v>235</v>
      </c>
      <c r="B35" s="10" t="s">
        <v>909</v>
      </c>
      <c r="C35" s="239">
        <v>11.4</v>
      </c>
      <c r="D35" s="239">
        <v>9.4166666666666661</v>
      </c>
      <c r="E35" s="207">
        <v>10.077777777777778</v>
      </c>
      <c r="F35" s="5"/>
      <c r="G35" s="5"/>
    </row>
    <row r="36" spans="1:7" ht="18" x14ac:dyDescent="0.3">
      <c r="A36" s="10" t="s">
        <v>236</v>
      </c>
      <c r="B36" s="206" t="s">
        <v>882</v>
      </c>
      <c r="C36" s="239">
        <v>10.3</v>
      </c>
      <c r="D36" s="239">
        <v>9.5833333333333339</v>
      </c>
      <c r="E36" s="207">
        <v>9.8222222222222229</v>
      </c>
      <c r="F36" s="5"/>
      <c r="G36" s="5"/>
    </row>
    <row r="37" spans="1:7" ht="18" x14ac:dyDescent="0.3">
      <c r="A37" s="10" t="s">
        <v>237</v>
      </c>
      <c r="B37" s="10" t="s">
        <v>905</v>
      </c>
      <c r="C37" s="239">
        <v>12.3</v>
      </c>
      <c r="D37" s="239">
        <v>8.5</v>
      </c>
      <c r="E37" s="207">
        <v>9.7666666666666675</v>
      </c>
      <c r="F37" s="5"/>
      <c r="G37" s="5"/>
    </row>
    <row r="38" spans="1:7" ht="18" x14ac:dyDescent="0.3">
      <c r="A38" s="10" t="s">
        <v>238</v>
      </c>
      <c r="B38" s="10" t="s">
        <v>880</v>
      </c>
      <c r="C38" s="239">
        <v>11.2</v>
      </c>
      <c r="D38" s="239">
        <v>8.9166666666666661</v>
      </c>
      <c r="E38" s="207">
        <v>9.6777777777777771</v>
      </c>
      <c r="F38" s="5"/>
      <c r="G38" s="5"/>
    </row>
    <row r="39" spans="1:7" ht="18" x14ac:dyDescent="0.3">
      <c r="A39" s="10" t="s">
        <v>239</v>
      </c>
      <c r="B39" s="10" t="s">
        <v>890</v>
      </c>
      <c r="C39" s="239">
        <v>9.6999999999999993</v>
      </c>
      <c r="D39" s="239">
        <v>9.4166666666666661</v>
      </c>
      <c r="E39" s="207">
        <v>9.5111111111111111</v>
      </c>
      <c r="F39" s="5"/>
      <c r="G39" s="5"/>
    </row>
    <row r="40" spans="1:7" ht="18" x14ac:dyDescent="0.3">
      <c r="A40" s="10" t="s">
        <v>240</v>
      </c>
      <c r="B40" s="10" t="s">
        <v>913</v>
      </c>
      <c r="C40" s="239">
        <v>11</v>
      </c>
      <c r="D40" s="239">
        <v>8.5</v>
      </c>
      <c r="E40" s="207">
        <v>9.3333333333333339</v>
      </c>
      <c r="F40" s="5"/>
      <c r="G40" s="5"/>
    </row>
    <row r="41" spans="1:7" ht="18" x14ac:dyDescent="0.3">
      <c r="A41" s="10" t="s">
        <v>314</v>
      </c>
      <c r="B41" s="206" t="s">
        <v>896</v>
      </c>
      <c r="C41" s="239">
        <v>12.4</v>
      </c>
      <c r="D41" s="239">
        <v>7.75</v>
      </c>
      <c r="E41" s="240">
        <v>9.2999999999999989</v>
      </c>
      <c r="F41" s="5"/>
      <c r="G41" s="5"/>
    </row>
    <row r="42" spans="1:7" ht="18" x14ac:dyDescent="0.3">
      <c r="A42" s="10" t="s">
        <v>242</v>
      </c>
      <c r="B42" s="206" t="s">
        <v>902</v>
      </c>
      <c r="C42" s="239">
        <v>10</v>
      </c>
      <c r="D42" s="239">
        <v>8.9166666666666661</v>
      </c>
      <c r="E42" s="207">
        <v>9.2777777777777768</v>
      </c>
      <c r="F42" s="5"/>
      <c r="G42" s="5"/>
    </row>
    <row r="43" spans="1:7" ht="18" x14ac:dyDescent="0.3">
      <c r="A43" s="10" t="s">
        <v>243</v>
      </c>
      <c r="B43" s="10" t="s">
        <v>886</v>
      </c>
      <c r="C43" s="239">
        <v>11.1</v>
      </c>
      <c r="D43" s="239">
        <v>8.0833333333333339</v>
      </c>
      <c r="E43" s="207">
        <v>9.0888888888888886</v>
      </c>
      <c r="F43" s="5"/>
      <c r="G43" s="5"/>
    </row>
    <row r="44" spans="1:7" ht="18" x14ac:dyDescent="0.3">
      <c r="A44" s="10" t="s">
        <v>244</v>
      </c>
      <c r="B44" s="10" t="s">
        <v>891</v>
      </c>
      <c r="C44" s="239">
        <v>9.6999999999999993</v>
      </c>
      <c r="D44" s="239">
        <v>8.5833333333333339</v>
      </c>
      <c r="E44" s="207">
        <v>8.9555555555555557</v>
      </c>
      <c r="F44" s="5"/>
      <c r="G44" s="5"/>
    </row>
    <row r="45" spans="1:7" ht="18" x14ac:dyDescent="0.3">
      <c r="A45" s="10" t="s">
        <v>245</v>
      </c>
      <c r="B45" s="10" t="s">
        <v>899</v>
      </c>
      <c r="C45" s="239">
        <v>11.3</v>
      </c>
      <c r="D45" s="239">
        <v>7.416666666666667</v>
      </c>
      <c r="E45" s="207">
        <v>8.7111111111111104</v>
      </c>
      <c r="F45" s="5"/>
      <c r="G45" s="5"/>
    </row>
    <row r="46" spans="1:7" ht="18" x14ac:dyDescent="0.3">
      <c r="A46" s="10" t="s">
        <v>246</v>
      </c>
      <c r="B46" s="10" t="s">
        <v>895</v>
      </c>
      <c r="C46" s="239">
        <v>12.1</v>
      </c>
      <c r="D46" s="239">
        <v>6.833333333333333</v>
      </c>
      <c r="E46" s="207">
        <v>8.5888888888888886</v>
      </c>
      <c r="F46" s="5"/>
      <c r="G46" s="5"/>
    </row>
    <row r="47" spans="1:7" ht="18" x14ac:dyDescent="0.3">
      <c r="A47" s="10" t="s">
        <v>247</v>
      </c>
      <c r="B47" s="10" t="s">
        <v>897</v>
      </c>
      <c r="C47" s="239">
        <v>9.4</v>
      </c>
      <c r="D47" s="239">
        <v>7.75</v>
      </c>
      <c r="E47" s="207">
        <v>8.2999999999999989</v>
      </c>
      <c r="F47" s="13"/>
      <c r="G47" s="13"/>
    </row>
    <row r="48" spans="1:7" ht="18" x14ac:dyDescent="0.3">
      <c r="A48" s="10" t="s">
        <v>248</v>
      </c>
      <c r="B48" s="10" t="s">
        <v>894</v>
      </c>
      <c r="C48" s="239">
        <v>11.8</v>
      </c>
      <c r="D48" s="239">
        <v>5.916666666666667</v>
      </c>
      <c r="E48" s="207">
        <v>7.8777777777777773</v>
      </c>
      <c r="F48" s="5"/>
      <c r="G48" s="5"/>
    </row>
    <row r="49" spans="1:7" ht="18" x14ac:dyDescent="0.3">
      <c r="A49" s="10" t="s">
        <v>249</v>
      </c>
      <c r="B49" s="238" t="s">
        <v>914</v>
      </c>
      <c r="C49" s="239">
        <v>10.3</v>
      </c>
      <c r="D49" s="239">
        <v>6.666666666666667</v>
      </c>
      <c r="E49" s="207">
        <v>7.8777777777777773</v>
      </c>
      <c r="F49" s="5"/>
      <c r="G49" s="5"/>
    </row>
    <row r="50" spans="1:7" ht="18" x14ac:dyDescent="0.3">
      <c r="A50" s="10" t="s">
        <v>250</v>
      </c>
      <c r="B50" s="10" t="s">
        <v>892</v>
      </c>
      <c r="C50" s="239">
        <v>8.5</v>
      </c>
      <c r="D50" s="239">
        <v>5</v>
      </c>
      <c r="E50" s="207">
        <v>6.166666666666667</v>
      </c>
      <c r="F50" s="5"/>
      <c r="G50" s="5"/>
    </row>
    <row r="51" spans="1:7" ht="18" x14ac:dyDescent="0.3">
      <c r="A51" s="10" t="s">
        <v>313</v>
      </c>
      <c r="B51" s="10" t="s">
        <v>916</v>
      </c>
      <c r="C51" s="239">
        <v>8.1</v>
      </c>
      <c r="D51" s="239">
        <v>4.083333333333333</v>
      </c>
      <c r="E51" s="207">
        <v>5.4222222222222216</v>
      </c>
      <c r="F51" s="5"/>
      <c r="G51" s="5"/>
    </row>
    <row r="52" spans="1:7" ht="18" x14ac:dyDescent="0.3">
      <c r="A52" s="10" t="s">
        <v>252</v>
      </c>
      <c r="B52" s="10" t="s">
        <v>884</v>
      </c>
      <c r="C52" s="239">
        <v>7.7</v>
      </c>
      <c r="D52" s="239">
        <v>2.5833333333333335</v>
      </c>
      <c r="E52" s="207">
        <v>4.2888888888888888</v>
      </c>
      <c r="F52" s="5"/>
      <c r="G52" s="5"/>
    </row>
    <row r="53" spans="1:7" ht="18" x14ac:dyDescent="0.3">
      <c r="A53" s="10" t="s">
        <v>253</v>
      </c>
      <c r="B53" s="10" t="s">
        <v>917</v>
      </c>
      <c r="C53" s="239">
        <v>7.3</v>
      </c>
      <c r="D53" s="239">
        <v>2.75</v>
      </c>
      <c r="E53" s="207">
        <v>4.2666666666666666</v>
      </c>
      <c r="F53" s="5"/>
      <c r="G53" s="5"/>
    </row>
    <row r="54" spans="1:7" ht="18" x14ac:dyDescent="0.3">
      <c r="A54" s="10" t="s">
        <v>254</v>
      </c>
      <c r="B54" s="10" t="s">
        <v>908</v>
      </c>
      <c r="C54" s="239">
        <v>3.3</v>
      </c>
      <c r="D54" s="239">
        <v>0</v>
      </c>
      <c r="E54" s="207">
        <v>1.0999999999999999</v>
      </c>
      <c r="F54" s="5"/>
      <c r="G54" s="5"/>
    </row>
    <row r="55" spans="1:7" x14ac:dyDescent="0.25">
      <c r="A55" s="5"/>
      <c r="B55" s="5"/>
    </row>
    <row r="56" spans="1:7" ht="16.5" x14ac:dyDescent="0.3">
      <c r="A56" s="5"/>
      <c r="B56" s="2"/>
      <c r="C56" s="236" t="s">
        <v>392</v>
      </c>
      <c r="D56" s="236"/>
      <c r="E56" s="236"/>
      <c r="F56" s="236"/>
    </row>
    <row r="57" spans="1:7" ht="16.5" x14ac:dyDescent="0.3">
      <c r="A57" s="5"/>
      <c r="B57" s="2"/>
      <c r="C57" s="2"/>
      <c r="D57" s="2"/>
      <c r="E57" s="2"/>
      <c r="F57" s="2"/>
    </row>
    <row r="58" spans="1:7" ht="16.5" x14ac:dyDescent="0.3">
      <c r="A58" s="11"/>
      <c r="B58" s="2"/>
      <c r="C58" s="2"/>
      <c r="D58" s="47" t="s">
        <v>393</v>
      </c>
      <c r="E58" s="47" t="s">
        <v>394</v>
      </c>
      <c r="F58" s="47" t="s">
        <v>395</v>
      </c>
    </row>
    <row r="59" spans="1:7" ht="16.5" x14ac:dyDescent="0.3">
      <c r="A59" s="5"/>
      <c r="B59" s="2"/>
      <c r="C59" s="48" t="s">
        <v>396</v>
      </c>
      <c r="D59" s="49">
        <v>26</v>
      </c>
      <c r="E59" s="49">
        <v>18</v>
      </c>
      <c r="F59" s="49">
        <v>44</v>
      </c>
    </row>
    <row r="60" spans="1:7" ht="16.5" x14ac:dyDescent="0.3">
      <c r="A60" s="5"/>
      <c r="B60" s="2"/>
      <c r="C60" s="10" t="s">
        <v>397</v>
      </c>
      <c r="D60" s="49">
        <v>26</v>
      </c>
      <c r="E60" s="49">
        <v>18</v>
      </c>
      <c r="F60" s="49">
        <v>44</v>
      </c>
    </row>
    <row r="61" spans="1:7" ht="16.5" x14ac:dyDescent="0.3">
      <c r="A61" s="5"/>
      <c r="B61" s="2"/>
      <c r="C61" s="10" t="s">
        <v>398</v>
      </c>
      <c r="D61" s="49">
        <v>0</v>
      </c>
      <c r="E61" s="49">
        <v>0</v>
      </c>
      <c r="F61" s="49">
        <v>0</v>
      </c>
    </row>
    <row r="62" spans="1:7" ht="16.5" x14ac:dyDescent="0.3">
      <c r="A62" s="5"/>
      <c r="B62" s="2"/>
      <c r="C62" s="10" t="s">
        <v>399</v>
      </c>
      <c r="D62" s="49">
        <v>15</v>
      </c>
      <c r="E62" s="49">
        <v>10</v>
      </c>
      <c r="F62" s="49">
        <v>25</v>
      </c>
    </row>
    <row r="63" spans="1:7" ht="16.5" x14ac:dyDescent="0.3">
      <c r="A63" s="5"/>
      <c r="B63" s="2"/>
      <c r="C63" s="10" t="s">
        <v>400</v>
      </c>
      <c r="D63" s="49">
        <v>11</v>
      </c>
      <c r="E63" s="49">
        <v>8</v>
      </c>
      <c r="F63" s="49">
        <v>19</v>
      </c>
      <c r="G63" s="5"/>
    </row>
    <row r="64" spans="1:7" ht="16.5" x14ac:dyDescent="0.3">
      <c r="A64" s="5"/>
      <c r="B64" s="2"/>
      <c r="C64" s="10" t="s">
        <v>401</v>
      </c>
      <c r="D64" s="50">
        <f>+D62/D59</f>
        <v>0.57692307692307687</v>
      </c>
      <c r="E64" s="50">
        <f>+E62/E59</f>
        <v>0.55555555555555558</v>
      </c>
      <c r="F64" s="50">
        <f>+F62/F59</f>
        <v>0.56818181818181823</v>
      </c>
      <c r="G64" s="5"/>
    </row>
    <row r="65" spans="1:7" x14ac:dyDescent="0.25">
      <c r="A65" s="5"/>
      <c r="G65" s="5"/>
    </row>
    <row r="66" spans="1:7" ht="16.5" x14ac:dyDescent="0.3">
      <c r="A66" s="5"/>
      <c r="B66" s="2"/>
      <c r="C66" s="2"/>
      <c r="D66" s="15" t="s">
        <v>925</v>
      </c>
      <c r="E66" s="237"/>
      <c r="F66" s="53"/>
      <c r="G66" s="5"/>
    </row>
    <row r="67" spans="1:7" ht="16.5" x14ac:dyDescent="0.3">
      <c r="A67" s="5"/>
      <c r="B67" s="2"/>
      <c r="C67" s="2"/>
      <c r="D67" s="2"/>
      <c r="E67" s="2"/>
      <c r="F67" s="2"/>
      <c r="G67" s="5"/>
    </row>
    <row r="68" spans="1:7" ht="18.75" x14ac:dyDescent="0.3">
      <c r="A68" s="5"/>
      <c r="B68" s="285" t="s">
        <v>921</v>
      </c>
      <c r="C68" s="285"/>
      <c r="D68" s="15"/>
      <c r="E68" s="244" t="s">
        <v>404</v>
      </c>
      <c r="F68" s="15"/>
      <c r="G68" s="5"/>
    </row>
    <row r="69" spans="1:7" ht="16.5" x14ac:dyDescent="0.3">
      <c r="A69" s="5"/>
      <c r="B69" s="15"/>
      <c r="C69" s="15"/>
      <c r="D69" s="15"/>
      <c r="E69" s="15"/>
      <c r="F69" s="15"/>
      <c r="G69" s="5"/>
    </row>
    <row r="70" spans="1:7" ht="16.5" x14ac:dyDescent="0.3">
      <c r="A70" s="5"/>
      <c r="B70" s="15"/>
      <c r="C70" s="15"/>
      <c r="D70" s="15"/>
      <c r="E70" s="15"/>
      <c r="F70" s="15"/>
      <c r="G70" s="5"/>
    </row>
    <row r="71" spans="1:7" ht="16.5" x14ac:dyDescent="0.3">
      <c r="A71" s="5"/>
      <c r="B71" s="285" t="s">
        <v>922</v>
      </c>
      <c r="C71" s="285"/>
      <c r="D71" s="15"/>
      <c r="E71" s="15" t="s">
        <v>8</v>
      </c>
      <c r="F71" s="15"/>
      <c r="G71" s="5"/>
    </row>
    <row r="72" spans="1:7" x14ac:dyDescent="0.25">
      <c r="A72" s="5"/>
      <c r="B72" s="53"/>
      <c r="C72" s="53"/>
      <c r="D72" s="53"/>
      <c r="E72" s="53"/>
      <c r="F72" s="53"/>
      <c r="G72" s="5"/>
    </row>
    <row r="73" spans="1:7" x14ac:dyDescent="0.25">
      <c r="A73" s="5"/>
      <c r="G73" s="5"/>
    </row>
    <row r="74" spans="1:7" x14ac:dyDescent="0.25">
      <c r="A74" s="5"/>
      <c r="G74" s="5"/>
    </row>
    <row r="75" spans="1:7" x14ac:dyDescent="0.25">
      <c r="A75" s="5"/>
      <c r="G75" s="5"/>
    </row>
    <row r="76" spans="1:7" x14ac:dyDescent="0.25">
      <c r="A76" s="5"/>
      <c r="G76" s="5"/>
    </row>
    <row r="77" spans="1:7" x14ac:dyDescent="0.25">
      <c r="A77" s="5"/>
      <c r="G77" s="5"/>
    </row>
    <row r="78" spans="1:7" x14ac:dyDescent="0.25">
      <c r="A78" s="5"/>
      <c r="G78" s="5"/>
    </row>
    <row r="79" spans="1:7" x14ac:dyDescent="0.25">
      <c r="A79" s="5"/>
      <c r="G79" s="5"/>
    </row>
    <row r="80" spans="1:7" x14ac:dyDescent="0.25">
      <c r="A80" s="5"/>
      <c r="B80" s="5"/>
      <c r="C80" s="5"/>
      <c r="D80" s="5"/>
      <c r="E80" s="5"/>
      <c r="F80" s="5"/>
      <c r="G80" s="5"/>
    </row>
  </sheetData>
  <sortState ref="B11:E54">
    <sortCondition descending="1" ref="E11:E54"/>
  </sortState>
  <mergeCells count="7">
    <mergeCell ref="B68:C68"/>
    <mergeCell ref="B71:C71"/>
    <mergeCell ref="C2:E2"/>
    <mergeCell ref="B5:G5"/>
    <mergeCell ref="C6:G6"/>
    <mergeCell ref="B7:G8"/>
    <mergeCell ref="B9:E9"/>
  </mergeCells>
  <pageMargins left="0.7" right="0.7" top="0.75" bottom="0.75" header="0.3" footer="0.3"/>
  <pageSetup paperSize="9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499984740745262"/>
  </sheetPr>
  <dimension ref="A1:I84"/>
  <sheetViews>
    <sheetView workbookViewId="0">
      <selection activeCell="C1" sqref="C1:E1"/>
    </sheetView>
  </sheetViews>
  <sheetFormatPr baseColWidth="10" defaultColWidth="11.42578125" defaultRowHeight="16.5" x14ac:dyDescent="0.3"/>
  <cols>
    <col min="1" max="1" width="6.5703125" style="2" customWidth="1"/>
    <col min="2" max="2" width="33.140625" style="4" customWidth="1"/>
    <col min="3" max="3" width="12.7109375" style="2" customWidth="1"/>
    <col min="4" max="4" width="11.85546875" style="2" customWidth="1"/>
    <col min="5" max="5" width="12.140625" style="2" customWidth="1"/>
    <col min="6" max="16384" width="11.42578125" style="2"/>
  </cols>
  <sheetData>
    <row r="1" spans="1:7" ht="20.25" x14ac:dyDescent="0.3">
      <c r="A1" s="1" t="s">
        <v>929</v>
      </c>
      <c r="B1" s="6"/>
      <c r="C1" s="311" t="s">
        <v>5</v>
      </c>
      <c r="D1" s="311"/>
      <c r="E1" s="311"/>
    </row>
    <row r="2" spans="1:7" x14ac:dyDescent="0.3">
      <c r="A2" s="1" t="s">
        <v>930</v>
      </c>
      <c r="B2" s="6"/>
      <c r="C2" s="310" t="s">
        <v>6</v>
      </c>
      <c r="D2" s="310"/>
      <c r="E2" s="310"/>
    </row>
    <row r="3" spans="1:7" x14ac:dyDescent="0.3">
      <c r="A3" s="1" t="s">
        <v>931</v>
      </c>
      <c r="B3" s="6"/>
    </row>
    <row r="4" spans="1:7" x14ac:dyDescent="0.3">
      <c r="A4" s="1" t="s">
        <v>932</v>
      </c>
      <c r="B4" s="6"/>
      <c r="D4" s="3"/>
      <c r="E4" s="3"/>
    </row>
    <row r="5" spans="1:7" x14ac:dyDescent="0.3">
      <c r="B5" s="279" t="s">
        <v>934</v>
      </c>
      <c r="C5" s="279"/>
      <c r="D5" s="279"/>
      <c r="E5" s="279"/>
      <c r="F5" s="279"/>
      <c r="G5" s="279"/>
    </row>
    <row r="6" spans="1:7" x14ac:dyDescent="0.3">
      <c r="B6" s="285" t="s">
        <v>429</v>
      </c>
      <c r="C6" s="285"/>
      <c r="D6" s="285"/>
      <c r="E6" s="285"/>
      <c r="F6" s="285"/>
      <c r="G6" s="285"/>
    </row>
    <row r="7" spans="1:7" ht="15" customHeight="1" x14ac:dyDescent="0.3">
      <c r="A7" s="280" t="s">
        <v>943</v>
      </c>
      <c r="B7" s="280"/>
      <c r="C7" s="280"/>
      <c r="D7" s="280"/>
      <c r="E7" s="280"/>
      <c r="F7" s="280"/>
    </row>
    <row r="8" spans="1:7" x14ac:dyDescent="0.3">
      <c r="A8" s="280"/>
      <c r="B8" s="280"/>
      <c r="C8" s="280"/>
      <c r="D8" s="280"/>
      <c r="E8" s="280"/>
      <c r="F8" s="280"/>
    </row>
    <row r="9" spans="1:7" x14ac:dyDescent="0.3">
      <c r="B9" s="278"/>
      <c r="C9" s="278"/>
      <c r="D9" s="278"/>
      <c r="E9" s="278"/>
    </row>
    <row r="10" spans="1:7" s="8" customFormat="1" ht="33.75" customHeight="1" x14ac:dyDescent="0.2">
      <c r="A10" s="30" t="s">
        <v>427</v>
      </c>
      <c r="B10" s="29" t="s">
        <v>428</v>
      </c>
      <c r="C10" s="35" t="s">
        <v>419</v>
      </c>
      <c r="D10" s="35" t="s">
        <v>420</v>
      </c>
      <c r="E10" s="35" t="s">
        <v>210</v>
      </c>
    </row>
    <row r="11" spans="1:7" s="11" customFormat="1" ht="21.75" customHeight="1" x14ac:dyDescent="0.3">
      <c r="A11" s="10" t="s">
        <v>211</v>
      </c>
      <c r="B11" s="202" t="s">
        <v>813</v>
      </c>
      <c r="C11" s="60">
        <v>15.142857142857142</v>
      </c>
      <c r="D11" s="60">
        <v>13.555555555555555</v>
      </c>
      <c r="E11" s="213">
        <v>14.084656084656084</v>
      </c>
    </row>
    <row r="12" spans="1:7" s="5" customFormat="1" ht="18" x14ac:dyDescent="0.3">
      <c r="A12" s="10" t="s">
        <v>212</v>
      </c>
      <c r="B12" s="202" t="s">
        <v>812</v>
      </c>
      <c r="C12" s="60">
        <v>15</v>
      </c>
      <c r="D12" s="60">
        <v>10.944444444444445</v>
      </c>
      <c r="E12" s="213">
        <v>12.296296296296296</v>
      </c>
    </row>
    <row r="13" spans="1:7" s="5" customFormat="1" ht="18" x14ac:dyDescent="0.3">
      <c r="A13" s="10" t="s">
        <v>213</v>
      </c>
      <c r="B13" s="202" t="s">
        <v>801</v>
      </c>
      <c r="C13" s="60">
        <v>10.714285714285714</v>
      </c>
      <c r="D13" s="60">
        <v>10.888888888888889</v>
      </c>
      <c r="E13" s="213">
        <v>10.830687830687831</v>
      </c>
    </row>
    <row r="14" spans="1:7" s="5" customFormat="1" ht="20.25" customHeight="1" x14ac:dyDescent="0.3">
      <c r="A14" s="10" t="s">
        <v>214</v>
      </c>
      <c r="B14" s="202" t="s">
        <v>803</v>
      </c>
      <c r="C14" s="60">
        <v>12.714285714285714</v>
      </c>
      <c r="D14" s="60">
        <v>9.7222222222222214</v>
      </c>
      <c r="E14" s="213">
        <v>10.71957671957672</v>
      </c>
    </row>
    <row r="15" spans="1:7" s="5" customFormat="1" ht="18" x14ac:dyDescent="0.3">
      <c r="A15" s="10" t="s">
        <v>215</v>
      </c>
      <c r="B15" s="202" t="s">
        <v>790</v>
      </c>
      <c r="C15" s="60">
        <v>11.857142857142858</v>
      </c>
      <c r="D15" s="60">
        <v>9.3333333333333339</v>
      </c>
      <c r="E15" s="60">
        <v>10.174603174603176</v>
      </c>
    </row>
    <row r="16" spans="1:7" s="5" customFormat="1" ht="18" customHeight="1" x14ac:dyDescent="0.3">
      <c r="A16" s="10" t="s">
        <v>216</v>
      </c>
      <c r="B16" s="202" t="s">
        <v>800</v>
      </c>
      <c r="C16" s="60">
        <v>12.714285714285714</v>
      </c>
      <c r="D16" s="60">
        <v>8.5555555555555554</v>
      </c>
      <c r="E16" s="213">
        <v>9.9417989417989414</v>
      </c>
    </row>
    <row r="17" spans="1:5" s="11" customFormat="1" ht="18" x14ac:dyDescent="0.3">
      <c r="A17" s="195" t="s">
        <v>217</v>
      </c>
      <c r="B17" s="202" t="s">
        <v>794</v>
      </c>
      <c r="C17" s="60">
        <v>10.428571428571429</v>
      </c>
      <c r="D17" s="60">
        <v>7</v>
      </c>
      <c r="E17" s="213">
        <v>8.1428571428571441</v>
      </c>
    </row>
    <row r="18" spans="1:5" s="5" customFormat="1" ht="18" x14ac:dyDescent="0.3">
      <c r="A18" s="10" t="s">
        <v>218</v>
      </c>
      <c r="B18" s="10" t="s">
        <v>793</v>
      </c>
      <c r="C18" s="60">
        <v>10.428571428571429</v>
      </c>
      <c r="D18" s="60">
        <v>6.4444444444444446</v>
      </c>
      <c r="E18" s="213">
        <v>7.7724867724867721</v>
      </c>
    </row>
    <row r="19" spans="1:5" s="5" customFormat="1" ht="18" x14ac:dyDescent="0.3">
      <c r="A19" s="10" t="s">
        <v>219</v>
      </c>
      <c r="B19" s="202" t="s">
        <v>815</v>
      </c>
      <c r="C19" s="60">
        <v>13</v>
      </c>
      <c r="D19" s="60">
        <v>4.7777777777777777</v>
      </c>
      <c r="E19" s="60">
        <v>7.518518518518519</v>
      </c>
    </row>
    <row r="20" spans="1:5" s="11" customFormat="1" ht="19.5" customHeight="1" x14ac:dyDescent="0.3">
      <c r="A20" s="10" t="s">
        <v>220</v>
      </c>
      <c r="B20" s="202" t="s">
        <v>792</v>
      </c>
      <c r="C20" s="60">
        <v>8.7142857142857135</v>
      </c>
      <c r="D20" s="60">
        <v>5.7777777777777777</v>
      </c>
      <c r="E20" s="213">
        <v>6.7566137566137563</v>
      </c>
    </row>
    <row r="21" spans="1:5" s="5" customFormat="1" ht="19.5" customHeight="1" x14ac:dyDescent="0.3">
      <c r="A21" s="10" t="s">
        <v>221</v>
      </c>
      <c r="B21" s="202" t="s">
        <v>808</v>
      </c>
      <c r="C21" s="60">
        <v>10.714285714285714</v>
      </c>
      <c r="D21" s="60">
        <v>4.7222222222222223</v>
      </c>
      <c r="E21" s="213">
        <v>6.7195767195767191</v>
      </c>
    </row>
    <row r="22" spans="1:5" s="11" customFormat="1" ht="18" x14ac:dyDescent="0.3">
      <c r="A22" s="10" t="s">
        <v>222</v>
      </c>
      <c r="B22" s="202" t="s">
        <v>805</v>
      </c>
      <c r="C22" s="60">
        <v>11.428571428571429</v>
      </c>
      <c r="D22" s="60">
        <v>3.6111111111111112</v>
      </c>
      <c r="E22" s="213">
        <v>6.2169312169312176</v>
      </c>
    </row>
    <row r="23" spans="1:5" s="5" customFormat="1" ht="18" x14ac:dyDescent="0.3">
      <c r="A23" s="10" t="s">
        <v>223</v>
      </c>
      <c r="B23" s="202" t="s">
        <v>799</v>
      </c>
      <c r="C23" s="60">
        <v>10</v>
      </c>
      <c r="D23" s="60">
        <v>3.8333333333333335</v>
      </c>
      <c r="E23" s="213">
        <v>5.8888888888888893</v>
      </c>
    </row>
    <row r="24" spans="1:5" s="5" customFormat="1" ht="18" x14ac:dyDescent="0.3">
      <c r="A24" s="10" t="s">
        <v>224</v>
      </c>
      <c r="B24" s="202" t="s">
        <v>802</v>
      </c>
      <c r="C24" s="60">
        <v>9</v>
      </c>
      <c r="D24" s="60">
        <v>3.2777777777777777</v>
      </c>
      <c r="E24" s="213">
        <v>5.1851851851851851</v>
      </c>
    </row>
    <row r="25" spans="1:5" s="11" customFormat="1" ht="18" x14ac:dyDescent="0.3">
      <c r="A25" s="10" t="s">
        <v>225</v>
      </c>
      <c r="B25" s="202" t="s">
        <v>811</v>
      </c>
      <c r="C25" s="60">
        <v>7</v>
      </c>
      <c r="D25" s="60">
        <v>3.4444444444444446</v>
      </c>
      <c r="E25" s="213">
        <v>4.6296296296296298</v>
      </c>
    </row>
    <row r="26" spans="1:5" s="5" customFormat="1" ht="18" x14ac:dyDescent="0.3">
      <c r="A26" s="10" t="s">
        <v>226</v>
      </c>
      <c r="B26" s="202" t="s">
        <v>810</v>
      </c>
      <c r="C26" s="60">
        <v>6.5714285714285712</v>
      </c>
      <c r="D26" s="60">
        <v>3.3888888888888888</v>
      </c>
      <c r="E26" s="213">
        <v>4.4497354497354493</v>
      </c>
    </row>
    <row r="27" spans="1:5" s="5" customFormat="1" ht="18" x14ac:dyDescent="0.3">
      <c r="A27" s="10" t="s">
        <v>227</v>
      </c>
      <c r="B27" s="202" t="s">
        <v>814</v>
      </c>
      <c r="C27" s="60">
        <v>8.2857142857142865</v>
      </c>
      <c r="D27" s="60">
        <v>2.2222222222222223</v>
      </c>
      <c r="E27" s="60">
        <v>4.2433862433862437</v>
      </c>
    </row>
    <row r="28" spans="1:5" s="5" customFormat="1" ht="18" x14ac:dyDescent="0.3">
      <c r="A28" s="10" t="s">
        <v>228</v>
      </c>
      <c r="B28" s="202" t="s">
        <v>806</v>
      </c>
      <c r="C28" s="60">
        <v>7.8571428571428568</v>
      </c>
      <c r="D28" s="60">
        <v>2.3333333333333335</v>
      </c>
      <c r="E28" s="213">
        <v>4.1746031746031749</v>
      </c>
    </row>
    <row r="29" spans="1:5" s="5" customFormat="1" ht="19.5" customHeight="1" x14ac:dyDescent="0.3">
      <c r="A29" s="10" t="s">
        <v>229</v>
      </c>
      <c r="B29" s="202" t="s">
        <v>804</v>
      </c>
      <c r="C29" s="60">
        <v>9.1428571428571423</v>
      </c>
      <c r="D29" s="60">
        <v>1.1666666666666667</v>
      </c>
      <c r="E29" s="213">
        <v>3.8253968253968256</v>
      </c>
    </row>
    <row r="30" spans="1:5" s="5" customFormat="1" ht="18" x14ac:dyDescent="0.3">
      <c r="A30" s="10" t="s">
        <v>230</v>
      </c>
      <c r="B30" s="202" t="s">
        <v>796</v>
      </c>
      <c r="C30" s="60">
        <v>5.4285714285714288</v>
      </c>
      <c r="D30" s="60">
        <v>2.6666666666666665</v>
      </c>
      <c r="E30" s="213">
        <v>3.5873015873015874</v>
      </c>
    </row>
    <row r="31" spans="1:5" s="5" customFormat="1" ht="18" x14ac:dyDescent="0.3">
      <c r="A31" s="10" t="s">
        <v>231</v>
      </c>
      <c r="B31" s="202" t="s">
        <v>798</v>
      </c>
      <c r="C31" s="60">
        <v>5.4285714285714288</v>
      </c>
      <c r="D31" s="60">
        <v>0</v>
      </c>
      <c r="E31" s="213">
        <v>1.8095238095238095</v>
      </c>
    </row>
    <row r="32" spans="1:5" s="5" customFormat="1" ht="18.75" customHeight="1" x14ac:dyDescent="0.3">
      <c r="A32" s="10" t="s">
        <v>232</v>
      </c>
      <c r="B32" s="202" t="s">
        <v>809</v>
      </c>
      <c r="C32" s="60">
        <v>4</v>
      </c>
      <c r="D32" s="60">
        <v>0</v>
      </c>
      <c r="E32" s="213">
        <v>1.3333333333333333</v>
      </c>
    </row>
    <row r="33" spans="1:7" s="5" customFormat="1" ht="17.25" customHeight="1" x14ac:dyDescent="0.3">
      <c r="A33" s="10" t="s">
        <v>233</v>
      </c>
      <c r="B33" s="202" t="s">
        <v>795</v>
      </c>
      <c r="C33" s="60">
        <v>1.7142857142857142</v>
      </c>
      <c r="D33" s="60">
        <v>1</v>
      </c>
      <c r="E33" s="213">
        <v>1.2380952380952381</v>
      </c>
    </row>
    <row r="34" spans="1:7" s="5" customFormat="1" ht="17.25" customHeight="1" x14ac:dyDescent="0.3">
      <c r="A34" s="10" t="s">
        <v>234</v>
      </c>
      <c r="B34" s="202" t="s">
        <v>791</v>
      </c>
      <c r="C34" s="213">
        <v>2.2857142857142856</v>
      </c>
      <c r="D34" s="213">
        <v>0.33333333333333331</v>
      </c>
      <c r="E34" s="213">
        <v>0.98412698412698407</v>
      </c>
    </row>
    <row r="35" spans="1:7" s="5" customFormat="1" ht="18" x14ac:dyDescent="0.3">
      <c r="A35" s="10" t="s">
        <v>235</v>
      </c>
      <c r="B35" s="202" t="s">
        <v>807</v>
      </c>
      <c r="C35" s="60">
        <v>0.5714285714285714</v>
      </c>
      <c r="D35" s="60">
        <v>0.1111111111111111</v>
      </c>
      <c r="E35" s="213">
        <v>0.26455026455026454</v>
      </c>
    </row>
    <row r="36" spans="1:7" s="5" customFormat="1" ht="18" x14ac:dyDescent="0.3">
      <c r="A36" s="10" t="s">
        <v>236</v>
      </c>
      <c r="B36" s="202" t="s">
        <v>797</v>
      </c>
      <c r="C36" s="60">
        <v>0.5714285714285714</v>
      </c>
      <c r="D36" s="60">
        <v>0</v>
      </c>
      <c r="E36" s="213">
        <v>0.19047619047619047</v>
      </c>
    </row>
    <row r="37" spans="1:7" s="5" customFormat="1" ht="18" x14ac:dyDescent="0.3">
      <c r="A37" s="10" t="s">
        <v>237</v>
      </c>
      <c r="B37" s="9"/>
      <c r="C37" s="247"/>
      <c r="D37" s="248"/>
      <c r="E37" s="55"/>
    </row>
    <row r="38" spans="1:7" s="5" customFormat="1" ht="21" customHeight="1" x14ac:dyDescent="0.2"/>
    <row r="39" spans="1:7" s="5" customFormat="1" ht="19.5" customHeight="1" x14ac:dyDescent="0.3">
      <c r="B39" s="2"/>
      <c r="C39" s="281" t="s">
        <v>392</v>
      </c>
      <c r="D39" s="281"/>
      <c r="E39" s="281"/>
      <c r="F39" s="281"/>
      <c r="G39"/>
    </row>
    <row r="40" spans="1:7" s="5" customFormat="1" ht="19.5" customHeight="1" x14ac:dyDescent="0.3">
      <c r="B40" s="2"/>
      <c r="C40" s="2"/>
      <c r="D40" s="2"/>
      <c r="E40" s="2"/>
      <c r="F40" s="2"/>
      <c r="G40"/>
    </row>
    <row r="41" spans="1:7" s="5" customFormat="1" ht="19.5" customHeight="1" x14ac:dyDescent="0.3">
      <c r="B41" s="2"/>
      <c r="C41" s="2"/>
      <c r="D41" s="47" t="s">
        <v>393</v>
      </c>
      <c r="E41" s="47" t="s">
        <v>394</v>
      </c>
      <c r="F41" s="47" t="s">
        <v>395</v>
      </c>
      <c r="G41"/>
    </row>
    <row r="42" spans="1:7" s="5" customFormat="1" ht="18.75" customHeight="1" x14ac:dyDescent="0.3">
      <c r="B42" s="2"/>
      <c r="C42" s="48" t="s">
        <v>396</v>
      </c>
      <c r="D42" s="49">
        <v>11</v>
      </c>
      <c r="E42" s="49">
        <v>15</v>
      </c>
      <c r="F42" s="49">
        <v>26</v>
      </c>
      <c r="G42"/>
    </row>
    <row r="43" spans="1:7" s="5" customFormat="1" ht="15" customHeight="1" x14ac:dyDescent="0.3">
      <c r="B43" s="2"/>
      <c r="C43" s="10" t="s">
        <v>397</v>
      </c>
      <c r="D43" s="49">
        <v>11</v>
      </c>
      <c r="E43" s="49">
        <v>15</v>
      </c>
      <c r="F43" s="49">
        <v>26</v>
      </c>
      <c r="G43"/>
    </row>
    <row r="44" spans="1:7" s="5" customFormat="1" ht="15.75" customHeight="1" x14ac:dyDescent="0.3">
      <c r="B44" s="2"/>
      <c r="C44" s="10" t="s">
        <v>398</v>
      </c>
      <c r="D44" s="49">
        <v>0</v>
      </c>
      <c r="E44" s="49">
        <v>0</v>
      </c>
      <c r="F44" s="49">
        <v>0</v>
      </c>
      <c r="G44"/>
    </row>
    <row r="45" spans="1:7" s="5" customFormat="1" ht="17.25" customHeight="1" x14ac:dyDescent="0.3">
      <c r="B45" s="2"/>
      <c r="C45" s="10" t="s">
        <v>399</v>
      </c>
      <c r="D45" s="49">
        <v>3</v>
      </c>
      <c r="E45" s="49">
        <v>2</v>
      </c>
      <c r="F45" s="49">
        <v>5</v>
      </c>
      <c r="G45"/>
    </row>
    <row r="46" spans="1:7" s="5" customFormat="1" x14ac:dyDescent="0.3">
      <c r="B46" s="2"/>
      <c r="C46" s="10" t="s">
        <v>400</v>
      </c>
      <c r="D46" s="49">
        <v>8</v>
      </c>
      <c r="E46" s="49">
        <v>13</v>
      </c>
      <c r="F46" s="49">
        <v>21</v>
      </c>
      <c r="G46"/>
    </row>
    <row r="47" spans="1:7" s="5" customFormat="1" x14ac:dyDescent="0.3">
      <c r="B47" s="2"/>
      <c r="C47" s="10" t="s">
        <v>401</v>
      </c>
      <c r="D47" s="50">
        <f>+D45/D42</f>
        <v>0.27272727272727271</v>
      </c>
      <c r="E47" s="50">
        <f>+E45/E42</f>
        <v>0.13333333333333333</v>
      </c>
      <c r="F47" s="50">
        <f>+F45/F42</f>
        <v>0.19230769230769232</v>
      </c>
      <c r="G47"/>
    </row>
    <row r="48" spans="1:7" s="5" customFormat="1" ht="18" customHeight="1" x14ac:dyDescent="0.25">
      <c r="B48"/>
      <c r="C48"/>
      <c r="D48"/>
      <c r="E48"/>
      <c r="F48"/>
      <c r="G48"/>
    </row>
    <row r="49" spans="2:9" s="5" customFormat="1" x14ac:dyDescent="0.3">
      <c r="B49" s="2"/>
      <c r="C49" s="2"/>
      <c r="D49" s="2"/>
      <c r="E49" s="15"/>
      <c r="F49" s="34"/>
      <c r="G49" s="53"/>
    </row>
    <row r="50" spans="2:9" s="5" customFormat="1" x14ac:dyDescent="0.3">
      <c r="B50" s="2"/>
      <c r="C50" s="2"/>
      <c r="D50" s="2"/>
      <c r="E50" s="2"/>
      <c r="F50" s="2"/>
      <c r="G50"/>
    </row>
    <row r="51" spans="2:9" s="5" customFormat="1" x14ac:dyDescent="0.3">
      <c r="B51" s="285"/>
      <c r="C51" s="285"/>
      <c r="D51" s="15"/>
      <c r="E51" s="15"/>
      <c r="F51" s="34"/>
      <c r="G51" s="53"/>
    </row>
    <row r="52" spans="2:9" s="5" customFormat="1" x14ac:dyDescent="0.3">
      <c r="B52" s="2"/>
      <c r="C52" s="2"/>
      <c r="D52" s="2"/>
      <c r="E52" s="2"/>
      <c r="F52" s="2"/>
      <c r="G52" s="15" t="s">
        <v>925</v>
      </c>
      <c r="H52" s="241"/>
      <c r="I52" s="53"/>
    </row>
    <row r="53" spans="2:9" s="5" customFormat="1" ht="17.25" customHeight="1" x14ac:dyDescent="0.3">
      <c r="B53" s="2"/>
      <c r="C53" s="2"/>
      <c r="D53" s="2"/>
      <c r="E53" s="2"/>
      <c r="F53" s="2"/>
      <c r="G53" s="2"/>
      <c r="H53" s="2"/>
      <c r="I53" s="2"/>
    </row>
    <row r="54" spans="2:9" s="5" customFormat="1" ht="17.25" customHeight="1" x14ac:dyDescent="0.3">
      <c r="B54" s="2"/>
      <c r="C54" s="2"/>
      <c r="D54" s="2"/>
      <c r="E54" s="285" t="s">
        <v>921</v>
      </c>
      <c r="F54" s="285"/>
      <c r="G54" s="15"/>
      <c r="H54" s="244" t="s">
        <v>404</v>
      </c>
      <c r="I54" s="15"/>
    </row>
    <row r="55" spans="2:9" s="5" customFormat="1" ht="17.25" customHeight="1" x14ac:dyDescent="0.3">
      <c r="B55" s="285"/>
      <c r="C55" s="285"/>
      <c r="D55" s="15"/>
      <c r="E55" s="15"/>
      <c r="F55" s="15"/>
      <c r="G55" s="15"/>
      <c r="H55" s="15"/>
      <c r="I55" s="15"/>
    </row>
    <row r="56" spans="2:9" s="5" customFormat="1" x14ac:dyDescent="0.3">
      <c r="E56" s="15"/>
      <c r="F56" s="15"/>
      <c r="G56" s="15"/>
      <c r="H56" s="15"/>
      <c r="I56" s="15"/>
    </row>
    <row r="57" spans="2:9" s="5" customFormat="1" ht="18.75" customHeight="1" x14ac:dyDescent="0.3">
      <c r="E57" s="285" t="s">
        <v>922</v>
      </c>
      <c r="F57" s="285"/>
      <c r="G57" s="15"/>
      <c r="H57" s="15" t="s">
        <v>8</v>
      </c>
      <c r="I57" s="15"/>
    </row>
    <row r="58" spans="2:9" s="5" customFormat="1" ht="12.75" x14ac:dyDescent="0.2"/>
    <row r="59" spans="2:9" s="5" customFormat="1" ht="12.75" x14ac:dyDescent="0.2"/>
    <row r="60" spans="2:9" s="5" customFormat="1" ht="12.75" x14ac:dyDescent="0.2"/>
    <row r="61" spans="2:9" s="5" customFormat="1" ht="12.75" x14ac:dyDescent="0.2"/>
    <row r="62" spans="2:9" s="5" customFormat="1" ht="12.75" x14ac:dyDescent="0.2"/>
    <row r="63" spans="2:9" s="5" customFormat="1" ht="12.75" x14ac:dyDescent="0.2"/>
    <row r="64" spans="2:9" s="5" customFormat="1" ht="12.75" x14ac:dyDescent="0.2"/>
    <row r="65" spans="1:5" s="5" customFormat="1" ht="12.75" x14ac:dyDescent="0.2"/>
    <row r="66" spans="1:5" s="5" customFormat="1" ht="12.75" x14ac:dyDescent="0.2"/>
    <row r="67" spans="1:5" s="5" customFormat="1" ht="12.75" x14ac:dyDescent="0.2"/>
    <row r="68" spans="1:5" s="5" customFormat="1" ht="12.75" x14ac:dyDescent="0.2"/>
    <row r="69" spans="1:5" s="5" customFormat="1" ht="12.75" x14ac:dyDescent="0.2"/>
    <row r="70" spans="1:5" s="5" customFormat="1" ht="12.75" x14ac:dyDescent="0.2"/>
    <row r="71" spans="1:5" s="5" customFormat="1" ht="12.75" x14ac:dyDescent="0.2"/>
    <row r="72" spans="1:5" s="5" customFormat="1" ht="12.75" x14ac:dyDescent="0.2"/>
    <row r="73" spans="1:5" s="5" customFormat="1" ht="12.75" x14ac:dyDescent="0.2"/>
    <row r="74" spans="1:5" s="5" customFormat="1" ht="12.75" x14ac:dyDescent="0.2"/>
    <row r="75" spans="1:5" s="5" customFormat="1" ht="12.75" x14ac:dyDescent="0.2"/>
    <row r="76" spans="1:5" s="5" customFormat="1" x14ac:dyDescent="0.3">
      <c r="A76" s="18"/>
      <c r="B76" s="17"/>
      <c r="D76" s="61"/>
      <c r="E76" s="62"/>
    </row>
    <row r="77" spans="1:5" s="5" customFormat="1" x14ac:dyDescent="0.3">
      <c r="A77" s="18"/>
      <c r="B77" s="17"/>
      <c r="C77" s="61"/>
      <c r="D77" s="61"/>
      <c r="E77" s="62"/>
    </row>
    <row r="78" spans="1:5" s="5" customFormat="1" x14ac:dyDescent="0.3">
      <c r="A78" s="18"/>
      <c r="B78" s="17"/>
      <c r="C78" s="61"/>
      <c r="D78" s="61"/>
      <c r="E78" s="62"/>
    </row>
    <row r="79" spans="1:5" s="5" customFormat="1" x14ac:dyDescent="0.3">
      <c r="A79" s="18"/>
      <c r="B79" s="17"/>
      <c r="C79" s="61"/>
      <c r="D79" s="61"/>
      <c r="E79" s="62"/>
    </row>
    <row r="80" spans="1:5" s="5" customFormat="1" x14ac:dyDescent="0.3">
      <c r="A80" s="18"/>
      <c r="B80" s="17"/>
      <c r="C80" s="61"/>
      <c r="D80" s="61"/>
      <c r="E80" s="62"/>
    </row>
    <row r="81" spans="1:5" s="5" customFormat="1" x14ac:dyDescent="0.3">
      <c r="A81" s="15"/>
      <c r="B81" s="4"/>
      <c r="C81" s="2"/>
      <c r="D81" s="2"/>
      <c r="E81" s="2"/>
    </row>
    <row r="82" spans="1:5" s="8" customFormat="1" ht="12.75" x14ac:dyDescent="0.2"/>
    <row r="83" spans="1:5" s="5" customFormat="1" ht="12.75" x14ac:dyDescent="0.2"/>
    <row r="84" spans="1:5" s="8" customFormat="1" ht="12.75" x14ac:dyDescent="0.2"/>
  </sheetData>
  <sortState ref="B11:E36">
    <sortCondition descending="1" ref="E11:E36"/>
  </sortState>
  <mergeCells count="11">
    <mergeCell ref="E57:F57"/>
    <mergeCell ref="B51:C51"/>
    <mergeCell ref="B55:C55"/>
    <mergeCell ref="C1:E1"/>
    <mergeCell ref="C2:E2"/>
    <mergeCell ref="B9:E9"/>
    <mergeCell ref="B5:G5"/>
    <mergeCell ref="B6:G6"/>
    <mergeCell ref="A7:F8"/>
    <mergeCell ref="C39:F39"/>
    <mergeCell ref="E54:F54"/>
  </mergeCells>
  <printOptions horizontalCentered="1"/>
  <pageMargins left="0.25" right="0.25" top="0.75" bottom="0.75" header="0.3" footer="0.3"/>
  <pageSetup paperSize="9" orientation="portrait" r:id="rId1"/>
  <headerFooter>
    <oddFooter>&amp;LGSP MOH-CA /TSS&amp;R&amp;P/&amp;N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G69"/>
  <sheetViews>
    <sheetView topLeftCell="A40" workbookViewId="0">
      <selection activeCell="H65" sqref="H65"/>
    </sheetView>
  </sheetViews>
  <sheetFormatPr baseColWidth="10" defaultColWidth="11.42578125" defaultRowHeight="16.5" x14ac:dyDescent="0.3"/>
  <cols>
    <col min="1" max="1" width="4.140625" style="2" customWidth="1"/>
    <col min="2" max="2" width="31.28515625" style="4" customWidth="1"/>
    <col min="3" max="3" width="9.85546875" style="2" customWidth="1"/>
    <col min="4" max="4" width="11.140625" style="2" customWidth="1"/>
    <col min="5" max="5" width="13" style="2" customWidth="1"/>
    <col min="6" max="16384" width="11.42578125" style="2"/>
  </cols>
  <sheetData>
    <row r="1" spans="1:7" ht="20.25" x14ac:dyDescent="0.3">
      <c r="A1" s="1" t="s">
        <v>929</v>
      </c>
      <c r="B1" s="6"/>
      <c r="C1" s="311" t="s">
        <v>5</v>
      </c>
      <c r="D1" s="311"/>
      <c r="E1" s="311"/>
    </row>
    <row r="2" spans="1:7" x14ac:dyDescent="0.3">
      <c r="A2" s="1" t="s">
        <v>930</v>
      </c>
      <c r="B2" s="6"/>
      <c r="C2" s="310" t="s">
        <v>6</v>
      </c>
      <c r="D2" s="310"/>
      <c r="E2" s="310"/>
    </row>
    <row r="3" spans="1:7" x14ac:dyDescent="0.3">
      <c r="A3" s="1" t="s">
        <v>931</v>
      </c>
      <c r="B3" s="6"/>
      <c r="D3" s="3"/>
      <c r="E3" s="3"/>
    </row>
    <row r="4" spans="1:7" x14ac:dyDescent="0.3">
      <c r="A4" s="1" t="s">
        <v>932</v>
      </c>
      <c r="B4" s="6"/>
      <c r="D4" s="3"/>
      <c r="E4" s="3"/>
    </row>
    <row r="5" spans="1:7" x14ac:dyDescent="0.3">
      <c r="B5" s="279" t="s">
        <v>937</v>
      </c>
      <c r="C5" s="279"/>
      <c r="D5" s="279"/>
      <c r="E5" s="279"/>
      <c r="F5" s="279"/>
      <c r="G5" s="279"/>
    </row>
    <row r="6" spans="1:7" x14ac:dyDescent="0.3">
      <c r="B6" s="285" t="s">
        <v>430</v>
      </c>
      <c r="C6" s="285"/>
      <c r="D6" s="285"/>
      <c r="E6" s="285"/>
      <c r="F6" s="285"/>
      <c r="G6" s="285"/>
    </row>
    <row r="7" spans="1:7" x14ac:dyDescent="0.3">
      <c r="A7" s="280" t="s">
        <v>944</v>
      </c>
      <c r="B7" s="280"/>
      <c r="C7" s="280"/>
      <c r="D7" s="280"/>
      <c r="E7" s="280"/>
      <c r="F7" s="280"/>
    </row>
    <row r="8" spans="1:7" x14ac:dyDescent="0.3">
      <c r="A8" s="280"/>
      <c r="B8" s="280"/>
      <c r="C8" s="280"/>
      <c r="D8" s="280"/>
      <c r="E8" s="280"/>
      <c r="F8" s="280"/>
    </row>
    <row r="9" spans="1:7" s="8" customFormat="1" ht="39" customHeight="1" x14ac:dyDescent="0.2">
      <c r="A9" s="27" t="s">
        <v>106</v>
      </c>
      <c r="B9" s="29" t="s">
        <v>0</v>
      </c>
      <c r="C9" s="35" t="s">
        <v>419</v>
      </c>
      <c r="D9" s="35" t="s">
        <v>420</v>
      </c>
      <c r="E9" s="35" t="s">
        <v>210</v>
      </c>
    </row>
    <row r="10" spans="1:7" s="11" customFormat="1" ht="15" customHeight="1" x14ac:dyDescent="0.3">
      <c r="A10" s="10" t="s">
        <v>211</v>
      </c>
      <c r="B10" s="204" t="s">
        <v>827</v>
      </c>
      <c r="C10" s="60">
        <v>16.571428571428573</v>
      </c>
      <c r="D10" s="60">
        <v>14.277777777777779</v>
      </c>
      <c r="E10" s="213">
        <v>15.042328042328043</v>
      </c>
    </row>
    <row r="11" spans="1:7" s="11" customFormat="1" ht="14.25" customHeight="1" x14ac:dyDescent="0.3">
      <c r="A11" s="10" t="s">
        <v>212</v>
      </c>
      <c r="B11" s="204" t="s">
        <v>839</v>
      </c>
      <c r="C11" s="60">
        <v>15</v>
      </c>
      <c r="D11" s="60">
        <v>11</v>
      </c>
      <c r="E11" s="213">
        <v>12.333333333333334</v>
      </c>
    </row>
    <row r="12" spans="1:7" s="11" customFormat="1" ht="15" customHeight="1" x14ac:dyDescent="0.3">
      <c r="A12" s="195" t="s">
        <v>213</v>
      </c>
      <c r="B12" s="204" t="s">
        <v>823</v>
      </c>
      <c r="C12" s="60">
        <v>12.571428571428571</v>
      </c>
      <c r="D12" s="60">
        <v>10.722222222222221</v>
      </c>
      <c r="E12" s="213">
        <v>11.338624338624337</v>
      </c>
    </row>
    <row r="13" spans="1:7" s="11" customFormat="1" ht="15.75" customHeight="1" x14ac:dyDescent="0.3">
      <c r="A13" s="10" t="s">
        <v>214</v>
      </c>
      <c r="B13" s="204" t="s">
        <v>826</v>
      </c>
      <c r="C13" s="60">
        <v>11.571428571428571</v>
      </c>
      <c r="D13" s="60">
        <v>11</v>
      </c>
      <c r="E13" s="213">
        <v>11.19047619047619</v>
      </c>
    </row>
    <row r="14" spans="1:7" s="11" customFormat="1" ht="15" customHeight="1" x14ac:dyDescent="0.3">
      <c r="A14" s="10" t="s">
        <v>215</v>
      </c>
      <c r="B14" s="204" t="s">
        <v>844</v>
      </c>
      <c r="C14" s="60">
        <v>12.142857142857142</v>
      </c>
      <c r="D14" s="60">
        <v>9.5</v>
      </c>
      <c r="E14" s="213">
        <v>10.380952380952381</v>
      </c>
    </row>
    <row r="15" spans="1:7" s="11" customFormat="1" ht="15" customHeight="1" x14ac:dyDescent="0.3">
      <c r="A15" s="10" t="s">
        <v>216</v>
      </c>
      <c r="B15" s="204" t="s">
        <v>821</v>
      </c>
      <c r="C15" s="60">
        <v>11</v>
      </c>
      <c r="D15" s="60">
        <v>10.055555555555555</v>
      </c>
      <c r="E15" s="213">
        <v>10.37037037037037</v>
      </c>
    </row>
    <row r="16" spans="1:7" s="11" customFormat="1" ht="15.75" customHeight="1" x14ac:dyDescent="0.3">
      <c r="A16" s="10" t="s">
        <v>217</v>
      </c>
      <c r="B16" s="203" t="s">
        <v>834</v>
      </c>
      <c r="C16" s="60">
        <v>10.285714285714286</v>
      </c>
      <c r="D16" s="60">
        <v>9.1666666666666661</v>
      </c>
      <c r="E16" s="213">
        <v>9.5396825396825395</v>
      </c>
    </row>
    <row r="17" spans="1:5" s="11" customFormat="1" ht="16.5" customHeight="1" x14ac:dyDescent="0.3">
      <c r="A17" s="10" t="s">
        <v>218</v>
      </c>
      <c r="B17" s="204" t="s">
        <v>852</v>
      </c>
      <c r="C17" s="60">
        <v>11.714285714285714</v>
      </c>
      <c r="D17" s="60">
        <v>8.3888888888888893</v>
      </c>
      <c r="E17" s="60">
        <v>9.4973544973544985</v>
      </c>
    </row>
    <row r="18" spans="1:5" s="11" customFormat="1" ht="15.75" customHeight="1" x14ac:dyDescent="0.3">
      <c r="A18" s="10" t="s">
        <v>219</v>
      </c>
      <c r="B18" s="203" t="s">
        <v>819</v>
      </c>
      <c r="C18" s="60">
        <v>10.285714285714286</v>
      </c>
      <c r="D18" s="60">
        <v>8.6666666666666661</v>
      </c>
      <c r="E18" s="213">
        <v>9.2063492063492074</v>
      </c>
    </row>
    <row r="19" spans="1:5" s="11" customFormat="1" ht="16.5" customHeight="1" x14ac:dyDescent="0.3">
      <c r="A19" s="10" t="s">
        <v>220</v>
      </c>
      <c r="B19" s="204" t="s">
        <v>835</v>
      </c>
      <c r="C19" s="60">
        <v>9.4285714285714288</v>
      </c>
      <c r="D19" s="60">
        <v>8.6666666666666661</v>
      </c>
      <c r="E19" s="213">
        <v>8.9206349206349191</v>
      </c>
    </row>
    <row r="20" spans="1:5" s="11" customFormat="1" ht="14.25" customHeight="1" x14ac:dyDescent="0.3">
      <c r="A20" s="10" t="s">
        <v>221</v>
      </c>
      <c r="B20" s="204" t="s">
        <v>840</v>
      </c>
      <c r="C20" s="60">
        <v>7.8571428571428568</v>
      </c>
      <c r="D20" s="60">
        <v>9.3888888888888893</v>
      </c>
      <c r="E20" s="213">
        <v>8.8783068783068781</v>
      </c>
    </row>
    <row r="21" spans="1:5" s="11" customFormat="1" ht="15" customHeight="1" x14ac:dyDescent="0.3">
      <c r="A21" s="10" t="s">
        <v>222</v>
      </c>
      <c r="B21" s="204" t="s">
        <v>832</v>
      </c>
      <c r="C21" s="60">
        <v>9.1428571428571423</v>
      </c>
      <c r="D21" s="60">
        <v>8.6111111111111107</v>
      </c>
      <c r="E21" s="213">
        <v>8.7883597883597879</v>
      </c>
    </row>
    <row r="22" spans="1:5" s="11" customFormat="1" ht="15" customHeight="1" x14ac:dyDescent="0.3">
      <c r="A22" s="10" t="s">
        <v>223</v>
      </c>
      <c r="B22" s="204" t="s">
        <v>851</v>
      </c>
      <c r="C22" s="60">
        <v>9.4285714285714288</v>
      </c>
      <c r="D22" s="60">
        <v>8.2222222222222214</v>
      </c>
      <c r="E22" s="213">
        <v>8.6243386243386251</v>
      </c>
    </row>
    <row r="23" spans="1:5" s="11" customFormat="1" ht="16.5" customHeight="1" x14ac:dyDescent="0.3">
      <c r="A23" s="10" t="s">
        <v>224</v>
      </c>
      <c r="B23" s="204" t="s">
        <v>820</v>
      </c>
      <c r="C23" s="60">
        <v>9.5714285714285712</v>
      </c>
      <c r="D23" s="60">
        <v>7.9444444444444446</v>
      </c>
      <c r="E23" s="213">
        <v>8.4867724867724874</v>
      </c>
    </row>
    <row r="24" spans="1:5" s="11" customFormat="1" ht="14.25" customHeight="1" x14ac:dyDescent="0.3">
      <c r="A24" s="10" t="s">
        <v>225</v>
      </c>
      <c r="B24" s="204" t="s">
        <v>818</v>
      </c>
      <c r="C24" s="60">
        <v>11.142857142857142</v>
      </c>
      <c r="D24" s="60">
        <v>6.4444444444444446</v>
      </c>
      <c r="E24" s="213">
        <v>8.0105820105820111</v>
      </c>
    </row>
    <row r="25" spans="1:5" s="5" customFormat="1" ht="15.75" customHeight="1" x14ac:dyDescent="0.3">
      <c r="A25" s="10" t="s">
        <v>226</v>
      </c>
      <c r="B25" s="203" t="s">
        <v>830</v>
      </c>
      <c r="C25" s="60">
        <v>9.8571428571428577</v>
      </c>
      <c r="D25" s="60">
        <v>6.8888888888888893</v>
      </c>
      <c r="E25" s="213">
        <v>7.878306878306879</v>
      </c>
    </row>
    <row r="26" spans="1:5" s="5" customFormat="1" ht="15.75" customHeight="1" x14ac:dyDescent="0.3">
      <c r="A26" s="10" t="s">
        <v>227</v>
      </c>
      <c r="B26" s="203" t="s">
        <v>831</v>
      </c>
      <c r="C26" s="60">
        <v>9.1428571428571423</v>
      </c>
      <c r="D26" s="60">
        <v>7.1111111111111107</v>
      </c>
      <c r="E26" s="213">
        <v>7.7883597883597879</v>
      </c>
    </row>
    <row r="27" spans="1:5" s="5" customFormat="1" ht="15.75" customHeight="1" x14ac:dyDescent="0.3">
      <c r="A27" s="10" t="s">
        <v>228</v>
      </c>
      <c r="B27" s="203" t="s">
        <v>824</v>
      </c>
      <c r="C27" s="60">
        <v>8.8571428571428577</v>
      </c>
      <c r="D27" s="60">
        <v>7.1111111111111107</v>
      </c>
      <c r="E27" s="213">
        <v>7.693121693121693</v>
      </c>
    </row>
    <row r="28" spans="1:5" s="5" customFormat="1" ht="15.75" customHeight="1" x14ac:dyDescent="0.3">
      <c r="A28" s="10" t="s">
        <v>229</v>
      </c>
      <c r="B28" s="203" t="s">
        <v>833</v>
      </c>
      <c r="C28" s="60">
        <v>10.142857142857142</v>
      </c>
      <c r="D28" s="60">
        <v>5.2222222222222223</v>
      </c>
      <c r="E28" s="213">
        <v>6.8624338624338632</v>
      </c>
    </row>
    <row r="29" spans="1:5" s="5" customFormat="1" ht="15.75" customHeight="1" x14ac:dyDescent="0.3">
      <c r="A29" s="10" t="s">
        <v>230</v>
      </c>
      <c r="B29" s="203" t="s">
        <v>842</v>
      </c>
      <c r="C29" s="60">
        <v>9.1428571428571423</v>
      </c>
      <c r="D29" s="60">
        <v>5.5555555555555554</v>
      </c>
      <c r="E29" s="213">
        <v>6.7513227513227507</v>
      </c>
    </row>
    <row r="30" spans="1:5" s="5" customFormat="1" ht="15.75" customHeight="1" x14ac:dyDescent="0.3">
      <c r="A30" s="10" t="s">
        <v>231</v>
      </c>
      <c r="B30" s="204" t="s">
        <v>843</v>
      </c>
      <c r="C30" s="60">
        <v>9.1428571428571423</v>
      </c>
      <c r="D30" s="60">
        <v>5.5555555555555554</v>
      </c>
      <c r="E30" s="60">
        <v>6.7513227513227507</v>
      </c>
    </row>
    <row r="31" spans="1:5" s="5" customFormat="1" ht="15.75" customHeight="1" x14ac:dyDescent="0.3">
      <c r="A31" s="10" t="s">
        <v>232</v>
      </c>
      <c r="B31" s="203" t="s">
        <v>849</v>
      </c>
      <c r="C31" s="60">
        <v>7.4285714285714288</v>
      </c>
      <c r="D31" s="60">
        <v>6.2777777777777777</v>
      </c>
      <c r="E31" s="213">
        <v>6.6613756613756614</v>
      </c>
    </row>
    <row r="32" spans="1:5" s="5" customFormat="1" ht="15" customHeight="1" x14ac:dyDescent="0.3">
      <c r="A32" s="10" t="s">
        <v>233</v>
      </c>
      <c r="B32" s="204" t="s">
        <v>846</v>
      </c>
      <c r="C32" s="60">
        <v>8.1428571428571423</v>
      </c>
      <c r="D32" s="60">
        <v>5.666666666666667</v>
      </c>
      <c r="E32" s="213">
        <v>6.4920634920634912</v>
      </c>
    </row>
    <row r="33" spans="1:5" s="5" customFormat="1" ht="15" customHeight="1" x14ac:dyDescent="0.3">
      <c r="A33" s="10" t="s">
        <v>234</v>
      </c>
      <c r="B33" s="193" t="s">
        <v>877</v>
      </c>
      <c r="C33" s="60">
        <v>8.2857142857142865</v>
      </c>
      <c r="D33" s="60">
        <v>4.9444444444444446</v>
      </c>
      <c r="E33" s="213">
        <v>6.0582010582010595</v>
      </c>
    </row>
    <row r="34" spans="1:5" s="5" customFormat="1" ht="15" customHeight="1" x14ac:dyDescent="0.3">
      <c r="A34" s="10" t="s">
        <v>235</v>
      </c>
      <c r="B34" s="203" t="s">
        <v>838</v>
      </c>
      <c r="C34" s="60">
        <v>8</v>
      </c>
      <c r="D34" s="60">
        <v>5</v>
      </c>
      <c r="E34" s="213">
        <v>6</v>
      </c>
    </row>
    <row r="35" spans="1:5" s="5" customFormat="1" ht="15" customHeight="1" x14ac:dyDescent="0.3">
      <c r="A35" s="10" t="s">
        <v>236</v>
      </c>
      <c r="B35" s="203" t="s">
        <v>847</v>
      </c>
      <c r="C35" s="60">
        <v>7.4285714285714288</v>
      </c>
      <c r="D35" s="60">
        <v>4.0555555555555554</v>
      </c>
      <c r="E35" s="213">
        <v>5.1798941798941796</v>
      </c>
    </row>
    <row r="36" spans="1:5" s="5" customFormat="1" ht="15" customHeight="1" x14ac:dyDescent="0.3">
      <c r="A36" s="10" t="s">
        <v>237</v>
      </c>
      <c r="B36" s="204" t="s">
        <v>825</v>
      </c>
      <c r="C36" s="60">
        <v>6.7142857142857144</v>
      </c>
      <c r="D36" s="60">
        <v>3.8333333333333335</v>
      </c>
      <c r="E36" s="213">
        <v>4.7936507936507935</v>
      </c>
    </row>
    <row r="37" spans="1:5" s="5" customFormat="1" ht="15" customHeight="1" x14ac:dyDescent="0.3">
      <c r="A37" s="10" t="s">
        <v>238</v>
      </c>
      <c r="B37" s="203" t="s">
        <v>837</v>
      </c>
      <c r="C37" s="60">
        <v>6.7142857142857144</v>
      </c>
      <c r="D37" s="60">
        <v>3.3888888888888888</v>
      </c>
      <c r="E37" s="213">
        <v>4.4973544973544977</v>
      </c>
    </row>
    <row r="38" spans="1:5" s="5" customFormat="1" ht="15" customHeight="1" x14ac:dyDescent="0.3">
      <c r="A38" s="10" t="s">
        <v>239</v>
      </c>
      <c r="B38" s="203" t="s">
        <v>850</v>
      </c>
      <c r="C38" s="60">
        <v>5.1428571428571432</v>
      </c>
      <c r="D38" s="60">
        <v>3.5</v>
      </c>
      <c r="E38" s="213">
        <v>4.0476190476190474</v>
      </c>
    </row>
    <row r="39" spans="1:5" s="5" customFormat="1" ht="15" customHeight="1" x14ac:dyDescent="0.3">
      <c r="A39" s="10" t="s">
        <v>240</v>
      </c>
      <c r="B39" s="204" t="s">
        <v>817</v>
      </c>
      <c r="C39" s="60">
        <v>8.4285714285714288</v>
      </c>
      <c r="D39" s="213">
        <v>1.5</v>
      </c>
      <c r="E39" s="213">
        <v>3.8095238095238098</v>
      </c>
    </row>
    <row r="40" spans="1:5" s="5" customFormat="1" ht="15" customHeight="1" x14ac:dyDescent="0.3">
      <c r="A40" s="10" t="s">
        <v>241</v>
      </c>
      <c r="B40" s="203" t="s">
        <v>841</v>
      </c>
      <c r="C40" s="60">
        <v>6</v>
      </c>
      <c r="D40" s="60">
        <v>1.7777777777777777</v>
      </c>
      <c r="E40" s="213">
        <v>3.1851851851851851</v>
      </c>
    </row>
    <row r="41" spans="1:5" s="5" customFormat="1" ht="15" customHeight="1" x14ac:dyDescent="0.3">
      <c r="A41" s="10" t="s">
        <v>242</v>
      </c>
      <c r="B41" s="203" t="s">
        <v>828</v>
      </c>
      <c r="C41" s="60">
        <v>5</v>
      </c>
      <c r="D41" s="60">
        <v>1.4444444444444444</v>
      </c>
      <c r="E41" s="213">
        <v>2.6296296296296298</v>
      </c>
    </row>
    <row r="42" spans="1:5" s="5" customFormat="1" ht="15" customHeight="1" x14ac:dyDescent="0.3">
      <c r="A42" s="10" t="s">
        <v>243</v>
      </c>
      <c r="B42" s="203" t="s">
        <v>836</v>
      </c>
      <c r="C42" s="60">
        <v>4.8571428571428568</v>
      </c>
      <c r="D42" s="60">
        <v>1.4444444444444444</v>
      </c>
      <c r="E42" s="213">
        <v>2.5820105820105819</v>
      </c>
    </row>
    <row r="43" spans="1:5" s="5" customFormat="1" ht="15" customHeight="1" x14ac:dyDescent="0.3">
      <c r="A43" s="10" t="s">
        <v>244</v>
      </c>
      <c r="B43" s="204" t="s">
        <v>848</v>
      </c>
      <c r="C43" s="60">
        <v>6.4285714285714288</v>
      </c>
      <c r="D43" s="60">
        <v>0.5</v>
      </c>
      <c r="E43" s="213">
        <v>2.4761904761904763</v>
      </c>
    </row>
    <row r="44" spans="1:5" s="5" customFormat="1" ht="15" customHeight="1" x14ac:dyDescent="0.3">
      <c r="A44" s="10" t="s">
        <v>245</v>
      </c>
      <c r="B44" s="204" t="s">
        <v>845</v>
      </c>
      <c r="C44" s="60">
        <v>5.1428571428571432</v>
      </c>
      <c r="D44" s="213">
        <v>1</v>
      </c>
      <c r="E44" s="213">
        <v>2.3809523809523809</v>
      </c>
    </row>
    <row r="45" spans="1:5" s="5" customFormat="1" ht="15" customHeight="1" x14ac:dyDescent="0.3">
      <c r="A45" s="10" t="s">
        <v>246</v>
      </c>
      <c r="B45" s="203" t="s">
        <v>816</v>
      </c>
      <c r="C45" s="60">
        <v>4.4285714285714288</v>
      </c>
      <c r="D45" s="60">
        <v>0.22222222222222221</v>
      </c>
      <c r="E45" s="60">
        <v>1.6243386243386244</v>
      </c>
    </row>
    <row r="46" spans="1:5" s="5" customFormat="1" ht="15" customHeight="1" x14ac:dyDescent="0.3">
      <c r="A46" s="10" t="s">
        <v>247</v>
      </c>
      <c r="B46" s="203" t="s">
        <v>829</v>
      </c>
      <c r="C46" s="60">
        <v>3.7142857142857144</v>
      </c>
      <c r="D46" s="60">
        <v>0.22222222222222221</v>
      </c>
      <c r="E46" s="213">
        <v>1.3862433862433863</v>
      </c>
    </row>
    <row r="47" spans="1:5" s="5" customFormat="1" ht="15" customHeight="1" x14ac:dyDescent="0.3">
      <c r="A47" s="10" t="s">
        <v>248</v>
      </c>
      <c r="B47" s="203" t="s">
        <v>853</v>
      </c>
      <c r="C47" s="60">
        <v>2</v>
      </c>
      <c r="D47" s="60">
        <v>0.55555555555555558</v>
      </c>
      <c r="E47" s="60">
        <v>1.037037037037037</v>
      </c>
    </row>
    <row r="48" spans="1:5" s="5" customFormat="1" ht="15" customHeight="1" x14ac:dyDescent="0.3">
      <c r="A48" s="10" t="s">
        <v>249</v>
      </c>
      <c r="B48" s="203" t="s">
        <v>822</v>
      </c>
      <c r="C48" s="60">
        <v>1.7142857142857142</v>
      </c>
      <c r="D48" s="60">
        <v>0.33333333333333331</v>
      </c>
      <c r="E48" s="213">
        <v>0.79365079365079361</v>
      </c>
    </row>
    <row r="49" spans="1:7" s="5" customFormat="1" ht="15" customHeight="1" x14ac:dyDescent="0.3">
      <c r="A49" s="10" t="s">
        <v>250</v>
      </c>
      <c r="B49" s="215"/>
      <c r="D49" s="217"/>
      <c r="E49" s="196"/>
    </row>
    <row r="50" spans="1:7" s="5" customFormat="1" x14ac:dyDescent="0.3">
      <c r="A50" s="15"/>
      <c r="B50" s="4"/>
      <c r="D50" s="2"/>
      <c r="E50" s="2"/>
    </row>
    <row r="51" spans="1:7" s="5" customFormat="1" x14ac:dyDescent="0.3">
      <c r="A51" s="2"/>
      <c r="B51" s="281" t="s">
        <v>926</v>
      </c>
      <c r="C51" s="281"/>
      <c r="D51" s="281"/>
      <c r="E51" s="281"/>
      <c r="F51"/>
    </row>
    <row r="52" spans="1:7" s="5" customFormat="1" x14ac:dyDescent="0.3">
      <c r="A52" s="2"/>
      <c r="B52" s="2"/>
      <c r="C52" s="2"/>
      <c r="D52" s="2"/>
      <c r="E52" s="2"/>
      <c r="F52"/>
    </row>
    <row r="53" spans="1:7" s="5" customFormat="1" x14ac:dyDescent="0.3">
      <c r="A53" s="2"/>
      <c r="B53" s="2"/>
      <c r="C53" s="47" t="s">
        <v>393</v>
      </c>
      <c r="D53" s="47" t="s">
        <v>394</v>
      </c>
      <c r="E53" s="47" t="s">
        <v>927</v>
      </c>
      <c r="F53"/>
    </row>
    <row r="54" spans="1:7" x14ac:dyDescent="0.3">
      <c r="B54" s="48" t="s">
        <v>396</v>
      </c>
      <c r="C54" s="49">
        <v>24</v>
      </c>
      <c r="D54" s="49">
        <v>15</v>
      </c>
      <c r="E54" s="49">
        <v>39</v>
      </c>
      <c r="F54"/>
    </row>
    <row r="55" spans="1:7" x14ac:dyDescent="0.3">
      <c r="B55" s="10" t="s">
        <v>397</v>
      </c>
      <c r="C55" s="49">
        <v>24</v>
      </c>
      <c r="D55" s="49">
        <v>15</v>
      </c>
      <c r="E55" s="49">
        <v>39</v>
      </c>
      <c r="F55"/>
    </row>
    <row r="56" spans="1:7" x14ac:dyDescent="0.3">
      <c r="B56" s="10" t="s">
        <v>398</v>
      </c>
      <c r="C56" s="49">
        <v>0</v>
      </c>
      <c r="D56" s="49">
        <v>0</v>
      </c>
      <c r="E56" s="49">
        <v>0</v>
      </c>
      <c r="F56"/>
    </row>
    <row r="57" spans="1:7" x14ac:dyDescent="0.3">
      <c r="B57" s="10" t="s">
        <v>399</v>
      </c>
      <c r="C57" s="49">
        <v>3</v>
      </c>
      <c r="D57" s="49">
        <v>3</v>
      </c>
      <c r="E57" s="49">
        <v>6</v>
      </c>
      <c r="F57"/>
    </row>
    <row r="58" spans="1:7" x14ac:dyDescent="0.3">
      <c r="B58" s="10" t="s">
        <v>400</v>
      </c>
      <c r="C58" s="49">
        <v>21</v>
      </c>
      <c r="D58" s="49">
        <v>12</v>
      </c>
      <c r="E58" s="49">
        <v>33</v>
      </c>
      <c r="F58"/>
    </row>
    <row r="59" spans="1:7" x14ac:dyDescent="0.3">
      <c r="B59" s="10" t="s">
        <v>401</v>
      </c>
      <c r="C59" s="50">
        <f>+C57/C54</f>
        <v>0.125</v>
      </c>
      <c r="D59" s="50">
        <f>+D57/D54</f>
        <v>0.2</v>
      </c>
      <c r="E59" s="50">
        <f>+E57/E54</f>
        <v>0.15384615384615385</v>
      </c>
      <c r="F59"/>
    </row>
    <row r="60" spans="1:7" x14ac:dyDescent="0.3">
      <c r="A60"/>
      <c r="B60"/>
      <c r="C60"/>
      <c r="D60"/>
      <c r="E60"/>
      <c r="F60"/>
    </row>
    <row r="61" spans="1:7" x14ac:dyDescent="0.3">
      <c r="B61" s="2"/>
      <c r="D61" s="15"/>
      <c r="E61" s="34"/>
      <c r="F61" s="53"/>
    </row>
    <row r="62" spans="1:7" x14ac:dyDescent="0.3">
      <c r="B62" s="2"/>
      <c r="F62"/>
    </row>
    <row r="63" spans="1:7" x14ac:dyDescent="0.3">
      <c r="A63" s="285"/>
      <c r="B63" s="285"/>
      <c r="E63" s="15" t="s">
        <v>925</v>
      </c>
      <c r="F63" s="241"/>
      <c r="G63" s="53"/>
    </row>
    <row r="64" spans="1:7" x14ac:dyDescent="0.3">
      <c r="B64" s="2"/>
    </row>
    <row r="65" spans="1:7" ht="18.75" x14ac:dyDescent="0.3">
      <c r="B65" s="246" t="s">
        <v>921</v>
      </c>
      <c r="C65" s="246"/>
      <c r="E65" s="15"/>
      <c r="F65" s="244" t="s">
        <v>404</v>
      </c>
      <c r="G65" s="15"/>
    </row>
    <row r="66" spans="1:7" x14ac:dyDescent="0.3">
      <c r="B66" s="15"/>
      <c r="C66" s="15"/>
      <c r="E66" s="15"/>
      <c r="F66" s="15"/>
      <c r="G66" s="15"/>
    </row>
    <row r="67" spans="1:7" x14ac:dyDescent="0.3">
      <c r="A67" s="246"/>
      <c r="B67" s="15"/>
      <c r="C67" s="15"/>
      <c r="E67" s="15"/>
      <c r="F67" s="15"/>
      <c r="G67" s="15"/>
    </row>
    <row r="68" spans="1:7" x14ac:dyDescent="0.3">
      <c r="B68" s="246" t="s">
        <v>922</v>
      </c>
      <c r="C68" s="246"/>
      <c r="E68" s="15"/>
      <c r="F68" s="15" t="s">
        <v>8</v>
      </c>
      <c r="G68" s="15"/>
    </row>
    <row r="69" spans="1:7" x14ac:dyDescent="0.3">
      <c r="C69" s="5"/>
      <c r="D69" s="5"/>
      <c r="E69" s="5"/>
      <c r="F69" s="5"/>
      <c r="G69" s="5"/>
    </row>
  </sheetData>
  <sortState ref="B10:E48">
    <sortCondition descending="1" ref="E10:E48"/>
  </sortState>
  <mergeCells count="7">
    <mergeCell ref="A63:B63"/>
    <mergeCell ref="C1:E1"/>
    <mergeCell ref="C2:E2"/>
    <mergeCell ref="B5:G5"/>
    <mergeCell ref="B6:G6"/>
    <mergeCell ref="A7:F8"/>
    <mergeCell ref="B51:E51"/>
  </mergeCells>
  <printOptions horizontalCentered="1"/>
  <pageMargins left="0.11811023622047245" right="0.11811023622047245" top="0.35433070866141736" bottom="0.35433070866141736" header="0.11811023622047245" footer="0.11811023622047245"/>
  <pageSetup paperSize="9" orientation="portrait" r:id="rId1"/>
  <headerFooter>
    <oddFooter>&amp;LGSP MOH-CA /TSE&amp;R&amp;P/&amp;N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00"/>
  </sheetPr>
  <dimension ref="A1:G86"/>
  <sheetViews>
    <sheetView workbookViewId="0">
      <selection activeCell="F1" sqref="F1"/>
    </sheetView>
  </sheetViews>
  <sheetFormatPr baseColWidth="10" defaultColWidth="11.42578125" defaultRowHeight="16.5" x14ac:dyDescent="0.3"/>
  <cols>
    <col min="1" max="1" width="4.85546875" style="2" customWidth="1"/>
    <col min="2" max="2" width="31.7109375" style="4" customWidth="1"/>
    <col min="3" max="3" width="20.5703125" style="2" customWidth="1"/>
    <col min="4" max="4" width="11.5703125" style="2" customWidth="1"/>
    <col min="5" max="5" width="11.28515625" style="2" customWidth="1"/>
    <col min="6" max="16384" width="11.42578125" style="2"/>
  </cols>
  <sheetData>
    <row r="1" spans="1:7" ht="20.25" x14ac:dyDescent="0.3">
      <c r="A1" s="1" t="s">
        <v>929</v>
      </c>
      <c r="B1" s="6"/>
      <c r="C1" s="311" t="s">
        <v>5</v>
      </c>
      <c r="D1" s="311"/>
      <c r="E1" s="311"/>
    </row>
    <row r="2" spans="1:7" x14ac:dyDescent="0.3">
      <c r="A2" s="1" t="s">
        <v>930</v>
      </c>
      <c r="B2" s="6"/>
      <c r="C2" s="310" t="s">
        <v>6</v>
      </c>
      <c r="D2" s="310"/>
      <c r="E2" s="310"/>
    </row>
    <row r="3" spans="1:7" x14ac:dyDescent="0.3">
      <c r="A3" s="1" t="s">
        <v>931</v>
      </c>
      <c r="B3" s="6"/>
    </row>
    <row r="4" spans="1:7" x14ac:dyDescent="0.3">
      <c r="A4" s="1" t="s">
        <v>932</v>
      </c>
      <c r="B4" s="6"/>
      <c r="D4" s="3"/>
      <c r="E4" s="3"/>
    </row>
    <row r="5" spans="1:7" x14ac:dyDescent="0.3">
      <c r="B5" s="279" t="s">
        <v>934</v>
      </c>
      <c r="C5" s="279"/>
      <c r="D5" s="279"/>
      <c r="E5" s="279"/>
      <c r="F5" s="279"/>
      <c r="G5" s="279"/>
    </row>
    <row r="6" spans="1:7" x14ac:dyDescent="0.3">
      <c r="B6" s="285" t="s">
        <v>431</v>
      </c>
      <c r="C6" s="285"/>
      <c r="D6" s="285"/>
      <c r="E6" s="285"/>
      <c r="F6" s="285"/>
      <c r="G6" s="285"/>
    </row>
    <row r="7" spans="1:7" x14ac:dyDescent="0.3">
      <c r="A7" s="280" t="s">
        <v>945</v>
      </c>
      <c r="B7" s="280"/>
      <c r="C7" s="280"/>
      <c r="D7" s="280"/>
      <c r="E7" s="280"/>
      <c r="F7" s="280"/>
    </row>
    <row r="8" spans="1:7" x14ac:dyDescent="0.3">
      <c r="A8" s="280"/>
      <c r="B8" s="280"/>
      <c r="C8" s="280"/>
      <c r="D8" s="280"/>
      <c r="E8" s="280"/>
      <c r="F8" s="280"/>
    </row>
    <row r="9" spans="1:7" x14ac:dyDescent="0.3">
      <c r="B9" s="278"/>
      <c r="C9" s="278"/>
      <c r="D9" s="278"/>
      <c r="E9" s="278"/>
    </row>
    <row r="10" spans="1:7" s="8" customFormat="1" ht="33.75" customHeight="1" x14ac:dyDescent="0.2">
      <c r="A10" s="30" t="s">
        <v>106</v>
      </c>
      <c r="B10" s="29" t="s">
        <v>0</v>
      </c>
      <c r="C10" s="24" t="s">
        <v>419</v>
      </c>
      <c r="D10" s="35" t="s">
        <v>420</v>
      </c>
      <c r="E10" s="35" t="s">
        <v>210</v>
      </c>
    </row>
    <row r="11" spans="1:7" s="5" customFormat="1" ht="18" x14ac:dyDescent="0.3">
      <c r="A11" s="10" t="s">
        <v>211</v>
      </c>
      <c r="B11" s="204" t="s">
        <v>859</v>
      </c>
      <c r="C11" s="60">
        <v>13</v>
      </c>
      <c r="D11" s="60">
        <v>12.611111111111111</v>
      </c>
      <c r="E11" s="60">
        <v>12.74074074074074</v>
      </c>
    </row>
    <row r="12" spans="1:7" s="5" customFormat="1" ht="18" x14ac:dyDescent="0.3">
      <c r="A12" s="10" t="s">
        <v>212</v>
      </c>
      <c r="B12" s="204" t="s">
        <v>857</v>
      </c>
      <c r="C12" s="60">
        <v>12</v>
      </c>
      <c r="D12" s="60">
        <v>12.055555555555555</v>
      </c>
      <c r="E12" s="60">
        <v>12.037037037037038</v>
      </c>
    </row>
    <row r="13" spans="1:7" s="5" customFormat="1" ht="18" x14ac:dyDescent="0.3">
      <c r="A13" s="10" t="s">
        <v>213</v>
      </c>
      <c r="B13" s="204" t="s">
        <v>862</v>
      </c>
      <c r="C13" s="60">
        <v>11.285714285714286</v>
      </c>
      <c r="D13" s="60">
        <v>7.3888888888888893</v>
      </c>
      <c r="E13" s="194">
        <v>8.6878306878306883</v>
      </c>
    </row>
    <row r="14" spans="1:7" s="5" customFormat="1" ht="18" x14ac:dyDescent="0.3">
      <c r="A14" s="10" t="s">
        <v>214</v>
      </c>
      <c r="B14" s="204" t="s">
        <v>872</v>
      </c>
      <c r="C14" s="60">
        <v>8.8571428571428577</v>
      </c>
      <c r="D14" s="60">
        <v>5.5</v>
      </c>
      <c r="E14" s="37">
        <v>6.6190476190476195</v>
      </c>
    </row>
    <row r="15" spans="1:7" s="5" customFormat="1" ht="18" x14ac:dyDescent="0.3">
      <c r="A15" s="10" t="s">
        <v>215</v>
      </c>
      <c r="B15" s="204" t="s">
        <v>856</v>
      </c>
      <c r="C15" s="60">
        <v>9.5714285714285712</v>
      </c>
      <c r="D15" s="60">
        <v>4.6111111111111107</v>
      </c>
      <c r="E15" s="60">
        <v>6.2645502645502633</v>
      </c>
    </row>
    <row r="16" spans="1:7" s="5" customFormat="1" ht="18" x14ac:dyDescent="0.3">
      <c r="A16" s="10" t="s">
        <v>216</v>
      </c>
      <c r="B16" s="204" t="s">
        <v>866</v>
      </c>
      <c r="C16" s="60">
        <v>7.7142857142857144</v>
      </c>
      <c r="D16" s="60">
        <v>4.7777777777777777</v>
      </c>
      <c r="E16" s="60">
        <v>5.7566137566137563</v>
      </c>
    </row>
    <row r="17" spans="1:7" s="5" customFormat="1" ht="18" x14ac:dyDescent="0.3">
      <c r="A17" s="10" t="s">
        <v>217</v>
      </c>
      <c r="B17" s="204" t="s">
        <v>861</v>
      </c>
      <c r="C17" s="60">
        <v>4</v>
      </c>
      <c r="D17" s="60">
        <v>2.2777777777777777</v>
      </c>
      <c r="E17" s="60">
        <v>2.8518518518518516</v>
      </c>
    </row>
    <row r="18" spans="1:7" s="5" customFormat="1" ht="18" x14ac:dyDescent="0.3">
      <c r="A18" s="10" t="s">
        <v>218</v>
      </c>
      <c r="B18" s="204" t="s">
        <v>864</v>
      </c>
      <c r="C18" s="60">
        <v>8</v>
      </c>
      <c r="D18" s="60">
        <v>0.1111111111111111</v>
      </c>
      <c r="E18" s="60">
        <v>2.7407407407407405</v>
      </c>
    </row>
    <row r="19" spans="1:7" s="5" customFormat="1" ht="18" x14ac:dyDescent="0.3">
      <c r="A19" s="10" t="s">
        <v>219</v>
      </c>
      <c r="B19" s="204" t="s">
        <v>855</v>
      </c>
      <c r="C19" s="60">
        <v>4.5714285714285712</v>
      </c>
      <c r="D19" s="60">
        <v>1.1111111111111112</v>
      </c>
      <c r="E19" s="60">
        <v>2.2645502645502646</v>
      </c>
    </row>
    <row r="20" spans="1:7" s="5" customFormat="1" ht="18" x14ac:dyDescent="0.3">
      <c r="A20" s="10" t="s">
        <v>220</v>
      </c>
      <c r="B20" s="205" t="s">
        <v>870</v>
      </c>
      <c r="C20" s="60">
        <v>6.2857142857142856</v>
      </c>
      <c r="D20" s="60">
        <v>0</v>
      </c>
      <c r="E20" s="60">
        <v>2.0952380952380953</v>
      </c>
    </row>
    <row r="21" spans="1:7" s="5" customFormat="1" ht="18" x14ac:dyDescent="0.3">
      <c r="A21" s="10" t="s">
        <v>221</v>
      </c>
      <c r="B21" s="204" t="s">
        <v>868</v>
      </c>
      <c r="C21" s="60">
        <v>3.5714285714285716</v>
      </c>
      <c r="D21" s="60">
        <v>0.88888888888888884</v>
      </c>
      <c r="E21" s="60">
        <v>1.7830687830687832</v>
      </c>
    </row>
    <row r="22" spans="1:7" s="5" customFormat="1" ht="18" x14ac:dyDescent="0.3">
      <c r="A22" s="195" t="s">
        <v>222</v>
      </c>
      <c r="B22" s="204" t="s">
        <v>854</v>
      </c>
      <c r="C22" s="60">
        <v>4.8571428571428568</v>
      </c>
      <c r="D22" s="60">
        <v>0.22222222222222221</v>
      </c>
      <c r="E22" s="60">
        <v>1.7671957671957672</v>
      </c>
    </row>
    <row r="23" spans="1:7" s="5" customFormat="1" ht="18" x14ac:dyDescent="0.3">
      <c r="A23" s="10" t="s">
        <v>223</v>
      </c>
      <c r="B23" s="204" t="s">
        <v>860</v>
      </c>
      <c r="C23" s="60">
        <v>4</v>
      </c>
      <c r="D23" s="60">
        <v>0.22222222222222221</v>
      </c>
      <c r="E23" s="60">
        <v>1.4814814814814816</v>
      </c>
    </row>
    <row r="24" spans="1:7" s="5" customFormat="1" ht="18" x14ac:dyDescent="0.3">
      <c r="A24" s="10" t="s">
        <v>224</v>
      </c>
      <c r="B24" s="204" t="s">
        <v>863</v>
      </c>
      <c r="C24" s="60">
        <v>4</v>
      </c>
      <c r="D24" s="60">
        <v>0.22222222222222221</v>
      </c>
      <c r="E24" s="60">
        <v>1.4814814814814816</v>
      </c>
    </row>
    <row r="25" spans="1:7" s="5" customFormat="1" ht="18" x14ac:dyDescent="0.3">
      <c r="A25" s="10" t="s">
        <v>225</v>
      </c>
      <c r="B25" s="204" t="s">
        <v>867</v>
      </c>
      <c r="C25" s="60">
        <v>3.5714285714285716</v>
      </c>
      <c r="D25" s="60">
        <v>0</v>
      </c>
      <c r="E25" s="60">
        <v>1.1904761904761905</v>
      </c>
    </row>
    <row r="26" spans="1:7" s="5" customFormat="1" ht="18" x14ac:dyDescent="0.3">
      <c r="A26" s="10" t="s">
        <v>226</v>
      </c>
      <c r="B26" s="204" t="s">
        <v>869</v>
      </c>
      <c r="C26" s="60">
        <v>2.4285714285714284</v>
      </c>
      <c r="D26" s="60">
        <v>0</v>
      </c>
      <c r="E26" s="60">
        <v>0.80952380952380942</v>
      </c>
    </row>
    <row r="27" spans="1:7" s="5" customFormat="1" ht="18" x14ac:dyDescent="0.3">
      <c r="A27" s="10" t="s">
        <v>227</v>
      </c>
      <c r="B27" s="204" t="s">
        <v>865</v>
      </c>
      <c r="C27" s="60">
        <v>2</v>
      </c>
      <c r="D27" s="60">
        <v>0.1111111111111111</v>
      </c>
      <c r="E27" s="60">
        <v>0.74074074074074081</v>
      </c>
    </row>
    <row r="28" spans="1:7" s="5" customFormat="1" ht="18" x14ac:dyDescent="0.3">
      <c r="A28" s="10" t="s">
        <v>228</v>
      </c>
      <c r="B28" s="204" t="s">
        <v>871</v>
      </c>
      <c r="C28" s="60">
        <v>0.2857142857142857</v>
      </c>
      <c r="D28" s="60">
        <v>0.22222222222222221</v>
      </c>
      <c r="E28" s="60">
        <v>0.24338624338624337</v>
      </c>
    </row>
    <row r="29" spans="1:7" s="5" customFormat="1" ht="18" x14ac:dyDescent="0.3">
      <c r="A29" s="10" t="s">
        <v>229</v>
      </c>
      <c r="B29" s="204" t="s">
        <v>858</v>
      </c>
      <c r="C29" s="60">
        <v>0</v>
      </c>
      <c r="D29" s="60">
        <v>0</v>
      </c>
      <c r="E29" s="60">
        <v>0</v>
      </c>
    </row>
    <row r="30" spans="1:7" s="5" customFormat="1" ht="12.75" x14ac:dyDescent="0.2"/>
    <row r="31" spans="1:7" s="5" customFormat="1" x14ac:dyDescent="0.3">
      <c r="B31" s="15"/>
      <c r="D31" s="2"/>
      <c r="E31" s="2"/>
      <c r="F31" s="2"/>
    </row>
    <row r="32" spans="1:7" s="5" customFormat="1" x14ac:dyDescent="0.3">
      <c r="B32" s="2"/>
      <c r="C32" s="281" t="s">
        <v>392</v>
      </c>
      <c r="D32" s="281"/>
      <c r="E32" s="281"/>
      <c r="F32" s="281"/>
      <c r="G32"/>
    </row>
    <row r="33" spans="2:7" s="5" customFormat="1" x14ac:dyDescent="0.3">
      <c r="B33" s="2"/>
      <c r="C33" s="2"/>
      <c r="D33" s="2"/>
      <c r="E33" s="2"/>
      <c r="F33" s="2"/>
      <c r="G33"/>
    </row>
    <row r="34" spans="2:7" s="5" customFormat="1" x14ac:dyDescent="0.3">
      <c r="B34" s="2"/>
      <c r="C34" s="2"/>
      <c r="D34" s="47" t="s">
        <v>393</v>
      </c>
      <c r="E34" s="47" t="s">
        <v>394</v>
      </c>
      <c r="F34" s="47" t="s">
        <v>395</v>
      </c>
      <c r="G34"/>
    </row>
    <row r="35" spans="2:7" s="5" customFormat="1" x14ac:dyDescent="0.3">
      <c r="B35" s="2"/>
      <c r="C35" s="48" t="s">
        <v>396</v>
      </c>
      <c r="D35" s="49">
        <v>9</v>
      </c>
      <c r="E35" s="49">
        <v>10</v>
      </c>
      <c r="F35" s="49">
        <v>19</v>
      </c>
      <c r="G35"/>
    </row>
    <row r="36" spans="2:7" s="5" customFormat="1" x14ac:dyDescent="0.3">
      <c r="B36" s="2"/>
      <c r="C36" s="10" t="s">
        <v>397</v>
      </c>
      <c r="D36" s="49">
        <v>9</v>
      </c>
      <c r="E36" s="49">
        <v>10</v>
      </c>
      <c r="F36" s="49">
        <v>19</v>
      </c>
      <c r="G36"/>
    </row>
    <row r="37" spans="2:7" s="5" customFormat="1" x14ac:dyDescent="0.3">
      <c r="B37" s="2"/>
      <c r="C37" s="10" t="s">
        <v>398</v>
      </c>
      <c r="D37" s="49">
        <v>0</v>
      </c>
      <c r="E37" s="49">
        <v>0</v>
      </c>
      <c r="F37" s="49">
        <v>0</v>
      </c>
      <c r="G37"/>
    </row>
    <row r="38" spans="2:7" s="5" customFormat="1" x14ac:dyDescent="0.3">
      <c r="B38" s="2"/>
      <c r="C38" s="10" t="s">
        <v>399</v>
      </c>
      <c r="D38" s="49">
        <v>2</v>
      </c>
      <c r="E38" s="49">
        <v>0</v>
      </c>
      <c r="F38" s="49">
        <v>2</v>
      </c>
      <c r="G38"/>
    </row>
    <row r="39" spans="2:7" s="5" customFormat="1" x14ac:dyDescent="0.3">
      <c r="B39" s="2"/>
      <c r="C39" s="10" t="s">
        <v>400</v>
      </c>
      <c r="D39" s="49">
        <v>7</v>
      </c>
      <c r="E39" s="49">
        <v>10</v>
      </c>
      <c r="F39" s="49">
        <v>17</v>
      </c>
      <c r="G39"/>
    </row>
    <row r="40" spans="2:7" s="5" customFormat="1" x14ac:dyDescent="0.3">
      <c r="B40" s="2"/>
      <c r="C40" s="10" t="s">
        <v>401</v>
      </c>
      <c r="D40" s="50">
        <f>+D38/D35</f>
        <v>0.22222222222222221</v>
      </c>
      <c r="E40" s="50">
        <f>+E38/E35</f>
        <v>0</v>
      </c>
      <c r="F40" s="50">
        <f>+F38/F35</f>
        <v>0.10526315789473684</v>
      </c>
      <c r="G40"/>
    </row>
    <row r="41" spans="2:7" s="5" customFormat="1" ht="15" x14ac:dyDescent="0.25">
      <c r="B41"/>
      <c r="C41"/>
      <c r="D41"/>
      <c r="E41"/>
      <c r="F41"/>
      <c r="G41"/>
    </row>
    <row r="42" spans="2:7" s="5" customFormat="1" x14ac:dyDescent="0.3">
      <c r="B42" s="2"/>
      <c r="C42" s="2"/>
      <c r="D42" s="2"/>
      <c r="E42" s="15" t="s">
        <v>925</v>
      </c>
      <c r="F42" s="34"/>
      <c r="G42" s="53"/>
    </row>
    <row r="43" spans="2:7" s="5" customFormat="1" x14ac:dyDescent="0.3">
      <c r="B43" s="2"/>
      <c r="C43" s="2"/>
      <c r="D43" s="2"/>
      <c r="E43" s="2"/>
      <c r="F43" s="2"/>
      <c r="G43"/>
    </row>
    <row r="44" spans="2:7" s="5" customFormat="1" x14ac:dyDescent="0.3">
      <c r="B44" s="285" t="s">
        <v>923</v>
      </c>
      <c r="C44" s="285"/>
      <c r="D44" s="15"/>
      <c r="E44" s="15"/>
      <c r="F44" s="34" t="s">
        <v>404</v>
      </c>
      <c r="G44" s="53"/>
    </row>
    <row r="45" spans="2:7" s="5" customFormat="1" x14ac:dyDescent="0.3">
      <c r="B45" s="2"/>
      <c r="C45" s="2"/>
      <c r="D45" s="2"/>
      <c r="E45" s="2"/>
      <c r="F45" s="2"/>
      <c r="G45"/>
    </row>
    <row r="46" spans="2:7" s="5" customFormat="1" x14ac:dyDescent="0.3">
      <c r="B46" s="2"/>
      <c r="C46" s="2"/>
      <c r="D46" s="2"/>
      <c r="E46" s="2"/>
      <c r="F46" s="2"/>
      <c r="G46"/>
    </row>
    <row r="47" spans="2:7" s="5" customFormat="1" x14ac:dyDescent="0.3">
      <c r="B47" s="2"/>
      <c r="C47" s="2"/>
      <c r="D47" s="2"/>
      <c r="E47" s="2"/>
      <c r="F47" s="2"/>
      <c r="G47"/>
    </row>
    <row r="48" spans="2:7" s="5" customFormat="1" x14ac:dyDescent="0.3">
      <c r="B48" s="285" t="s">
        <v>924</v>
      </c>
      <c r="C48" s="285"/>
      <c r="D48" s="15"/>
      <c r="E48" s="15"/>
      <c r="F48" s="34" t="s">
        <v>8</v>
      </c>
      <c r="G48" s="53"/>
    </row>
    <row r="49" s="5" customFormat="1" ht="12.75" x14ac:dyDescent="0.2"/>
    <row r="50" s="5" customFormat="1" ht="12.75" x14ac:dyDescent="0.2"/>
    <row r="51" s="5" customFormat="1" ht="12.75" x14ac:dyDescent="0.2"/>
    <row r="52" s="5" customFormat="1" ht="12.75" x14ac:dyDescent="0.2"/>
    <row r="53" s="5" customFormat="1" ht="12.75" x14ac:dyDescent="0.2"/>
    <row r="54" s="5" customFormat="1" ht="12.75" x14ac:dyDescent="0.2"/>
    <row r="55" s="5" customFormat="1" ht="12.75" x14ac:dyDescent="0.2"/>
    <row r="56" s="5" customFormat="1" ht="12.75" x14ac:dyDescent="0.2"/>
    <row r="57" s="5" customFormat="1" ht="12.75" x14ac:dyDescent="0.2"/>
    <row r="58" s="5" customFormat="1" ht="12.75" x14ac:dyDescent="0.2"/>
    <row r="59" s="5" customFormat="1" ht="12.75" x14ac:dyDescent="0.2"/>
    <row r="60" s="5" customFormat="1" ht="12.75" x14ac:dyDescent="0.2"/>
    <row r="61" s="5" customFormat="1" ht="12.75" x14ac:dyDescent="0.2"/>
    <row r="62" s="5" customFormat="1" ht="12.75" x14ac:dyDescent="0.2"/>
    <row r="63" s="5" customFormat="1" ht="12.75" x14ac:dyDescent="0.2"/>
    <row r="64" s="5" customFormat="1" ht="12.75" x14ac:dyDescent="0.2"/>
    <row r="65" s="5" customFormat="1" ht="12.75" x14ac:dyDescent="0.2"/>
    <row r="66" s="5" customFormat="1" ht="12.75" x14ac:dyDescent="0.2"/>
    <row r="67" s="5" customFormat="1" ht="12.75" x14ac:dyDescent="0.2"/>
    <row r="68" s="5" customFormat="1" ht="12.75" x14ac:dyDescent="0.2"/>
    <row r="69" s="5" customFormat="1" ht="12.75" x14ac:dyDescent="0.2"/>
    <row r="70" s="5" customFormat="1" ht="12.75" x14ac:dyDescent="0.2"/>
    <row r="71" s="5" customFormat="1" ht="12.75" x14ac:dyDescent="0.2"/>
    <row r="72" s="5" customFormat="1" ht="12.75" x14ac:dyDescent="0.2"/>
    <row r="73" s="5" customFormat="1" ht="12.75" x14ac:dyDescent="0.2"/>
    <row r="74" s="5" customFormat="1" ht="12.75" x14ac:dyDescent="0.2"/>
    <row r="75" s="5" customFormat="1" ht="12.75" x14ac:dyDescent="0.2"/>
    <row r="76" s="5" customFormat="1" ht="12.75" x14ac:dyDescent="0.2"/>
    <row r="77" s="5" customFormat="1" ht="12.75" x14ac:dyDescent="0.2"/>
    <row r="78" s="5" customFormat="1" ht="12.75" x14ac:dyDescent="0.2"/>
    <row r="79" s="5" customFormat="1" ht="12.75" x14ac:dyDescent="0.2"/>
    <row r="80" s="8" customFormat="1" ht="12.75" x14ac:dyDescent="0.2"/>
    <row r="81" s="5" customFormat="1" ht="12.75" x14ac:dyDescent="0.2"/>
    <row r="82" s="5" customFormat="1" ht="12.75" x14ac:dyDescent="0.2"/>
    <row r="83" s="5" customFormat="1" ht="12.75" x14ac:dyDescent="0.2"/>
    <row r="84" s="5" customFormat="1" ht="12.75" x14ac:dyDescent="0.2"/>
    <row r="85" s="8" customFormat="1" ht="12.75" x14ac:dyDescent="0.2"/>
    <row r="86" s="5" customFormat="1" ht="12.75" x14ac:dyDescent="0.2"/>
  </sheetData>
  <sortState ref="B11:E29">
    <sortCondition descending="1" ref="E11:E29"/>
  </sortState>
  <mergeCells count="9">
    <mergeCell ref="B44:C44"/>
    <mergeCell ref="B48:C48"/>
    <mergeCell ref="C1:E1"/>
    <mergeCell ref="C2:E2"/>
    <mergeCell ref="B9:E9"/>
    <mergeCell ref="B5:G5"/>
    <mergeCell ref="B6:G6"/>
    <mergeCell ref="A7:F8"/>
    <mergeCell ref="C32:F32"/>
  </mergeCells>
  <printOptions horizontalCentered="1"/>
  <pageMargins left="0.11811023622047245" right="0.11811023622047245" top="0.94488188976377963" bottom="0.94488188976377963" header="0.31496062992125984" footer="0.31496062992125984"/>
  <pageSetup paperSize="9" orientation="portrait" r:id="rId1"/>
  <headerFooter>
    <oddFooter>&amp;LGSP MOH-CA / TSM&amp;R&amp;P/&amp;N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34</vt:i4>
      </vt:variant>
      <vt:variant>
        <vt:lpstr>Plages nommées</vt:lpstr>
      </vt:variant>
      <vt:variant>
        <vt:i4>12</vt:i4>
      </vt:variant>
    </vt:vector>
  </HeadingPairs>
  <TitlesOfParts>
    <vt:vector size="46" baseType="lpstr">
      <vt:lpstr>7ème S1</vt:lpstr>
      <vt:lpstr>7ème S2</vt:lpstr>
      <vt:lpstr>7ème fin</vt:lpstr>
      <vt:lpstr>8ème S1</vt:lpstr>
      <vt:lpstr>8ème S2</vt:lpstr>
      <vt:lpstr>8ème fin</vt:lpstr>
      <vt:lpstr>9ème S1</vt:lpstr>
      <vt:lpstr>9ème S2</vt:lpstr>
      <vt:lpstr>9ème fin</vt:lpstr>
      <vt:lpstr>10ème A S1</vt:lpstr>
      <vt:lpstr>10ème A S2</vt:lpstr>
      <vt:lpstr>7EME B FIN</vt:lpstr>
      <vt:lpstr>10ème B S1</vt:lpstr>
      <vt:lpstr>10ème B S2</vt:lpstr>
      <vt:lpstr>10ème B fin</vt:lpstr>
      <vt:lpstr>11ème SS S1</vt:lpstr>
      <vt:lpstr>11ème SS S2</vt:lpstr>
      <vt:lpstr>11ème SS fin</vt:lpstr>
      <vt:lpstr>11ème SL S1</vt:lpstr>
      <vt:lpstr>11ème SL S2</vt:lpstr>
      <vt:lpstr>11ème SL fin</vt:lpstr>
      <vt:lpstr>12ème SE S1</vt:lpstr>
      <vt:lpstr>12ème SE S2</vt:lpstr>
      <vt:lpstr>12ème SE fin</vt:lpstr>
      <vt:lpstr>12ème SM S1</vt:lpstr>
      <vt:lpstr>12ème SM S2</vt:lpstr>
      <vt:lpstr>12ème SM fin</vt:lpstr>
      <vt:lpstr>12ème SS S1</vt:lpstr>
      <vt:lpstr>12ème SS S2</vt:lpstr>
      <vt:lpstr>12ème SS fin</vt:lpstr>
      <vt:lpstr>7EME B</vt:lpstr>
      <vt:lpstr>T SS</vt:lpstr>
      <vt:lpstr>T SE</vt:lpstr>
      <vt:lpstr>T SM</vt:lpstr>
      <vt:lpstr>'10ème A S1'!Impression_des_titres</vt:lpstr>
      <vt:lpstr>'11ème SL S1'!Impression_des_titres</vt:lpstr>
      <vt:lpstr>'11ème SS S1'!Impression_des_titres</vt:lpstr>
      <vt:lpstr>'12ème SE S1'!Impression_des_titres</vt:lpstr>
      <vt:lpstr>'12ème SM S1'!Impression_des_titres</vt:lpstr>
      <vt:lpstr>'12ème SS S1'!Impression_des_titres</vt:lpstr>
      <vt:lpstr>'7ème S1'!Impression_des_titres</vt:lpstr>
      <vt:lpstr>'8ème S1'!Impression_des_titres</vt:lpstr>
      <vt:lpstr>'9ème S1'!Impression_des_titres</vt:lpstr>
      <vt:lpstr>'T SE'!Impression_des_titres</vt:lpstr>
      <vt:lpstr>'T SM'!Impression_des_titres</vt:lpstr>
      <vt:lpstr>'T SS'!Impression_des_titres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2024-04-25T21:22:05Z</dcterms:modified>
</cp:coreProperties>
</file>